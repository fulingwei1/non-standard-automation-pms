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矩阵组织总览" sheetId="1" state="visible" r:id="rId1"/>
    <sheet xmlns:r="http://schemas.openxmlformats.org/officeDocument/2006/relationships" name="2-铁三角职责说明" sheetId="2" state="visible" r:id="rId2"/>
    <sheet xmlns:r="http://schemas.openxmlformats.org/officeDocument/2006/relationships" name="3-权责清单" sheetId="3" state="visible" r:id="rId3"/>
    <sheet xmlns:r="http://schemas.openxmlformats.org/officeDocument/2006/relationships" name="4-资源需求单" sheetId="4" state="visible" r:id="rId4"/>
    <sheet xmlns:r="http://schemas.openxmlformats.org/officeDocument/2006/relationships" name="5-资源需求流程" sheetId="5" state="visible" r:id="rId5"/>
    <sheet xmlns:r="http://schemas.openxmlformats.org/officeDocument/2006/relationships" name="6-双线考核表" sheetId="6" state="visible" r:id="rId6"/>
    <sheet xmlns:r="http://schemas.openxmlformats.org/officeDocument/2006/relationships" name="7-项目奖金分配" sheetId="7" state="visible" r:id="rId7"/>
    <sheet xmlns:r="http://schemas.openxmlformats.org/officeDocument/2006/relationships" name="8-实施路线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name val="Consolas"/>
      <sz val="9"/>
    </font>
    <font>
      <name val="微软雅黑"/>
      <b val="1"/>
      <color rgb="00FFFFFF"/>
      <sz val="11"/>
    </font>
    <font>
      <name val="微软雅黑"/>
      <b val="1"/>
      <color rgb="001F4E79"/>
      <sz val="18"/>
    </font>
    <font>
      <name val="微软雅黑"/>
      <b val="1"/>
      <sz val="12"/>
    </font>
    <font>
      <b val="1"/>
      <color rgb="00FFFFFF"/>
      <sz val="12"/>
    </font>
    <font>
      <b val="1"/>
    </font>
    <font>
      <b val="1"/>
      <color rgb="00FF0000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DCE5"/>
      </patternFill>
    </fill>
    <fill>
      <patternFill patternType="solid">
        <fgColor rgb="0092D050"/>
      </patternFill>
    </fill>
    <fill>
      <patternFill patternType="solid">
        <fgColor rgb="00FFFFD9"/>
      </patternFill>
    </fill>
    <fill>
      <patternFill patternType="solid">
        <fgColor rgb="00FFC000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0" fillId="4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4" borderId="1" pivotButton="0" quotePrefix="0" xfId="0"/>
    <xf numFmtId="0" fontId="8" fillId="0" borderId="0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非标自动化企业矩阵组织设计方案</t>
        </is>
      </c>
    </row>
    <row r="3">
      <c r="A3" s="2" t="inlineStr">
        <is>
          <t>一、组织架构示意</t>
        </is>
      </c>
    </row>
    <row r="4">
      <c r="A4" s="3" t="inlineStr">
        <is>
          <t xml:space="preserve">
                                    ┌─────────────┐
                                    │   总经理    │
                                    └──────┬──────┘
                    ┌──────────────────────┼──────────────────────┐
                    │                      │                      │
             ┌──────┴──────┐        ┌──────┴──────┐        ┌──────┴──────┐
             │   研发中心   │        │   运营中心   │        │   职能中心   │
             └──────┬──────┘        └──────┬──────┘        └─────────────┘
                    │                      │                 财务/HR/行政
        ┌───────────┼───────────┐          │
        │           │           │          │
   ┌────┴────┐ ┌────┴────┐ ┌────┴────┐     │
   │ 机械部  │ │ 电气部  │ │ 软件部  │     │
   │(职能线) │ │(职能线) │ │(职能线) │     │
   └─────────┘ └─────────┘ └─────────┘     │
        │           │           │          │
        └───────────┴───────────┴──────────┘
                         │
              【项目矩阵交叉点】
                         │
        ┌────────────────┼────────────────┐
        │                │                │
   ┌────┴────┐      ┌────┴────┐      ┌────┴────┐
   │ 项目A   │      │ 项目B   │      │ 项目C   │
   │铁三角   │      │铁三角   │      │铁三角   │
   │PM+TE+SC+CE     │PM+TE+SC+CE     │PM+TE+SC+CE
   └─────────┘      └─────────┘      └─────────┘
</t>
        </is>
      </c>
    </row>
    <row r="5"/>
    <row r="6"/>
    <row r="7"/>
    <row r="8"/>
    <row r="9"/>
    <row r="10"/>
    <row r="11"/>
    <row r="12"/>
    <row r="14">
      <c r="A14" s="2" t="inlineStr">
        <is>
          <t>二、核心理念</t>
        </is>
      </c>
    </row>
    <row r="15">
      <c r="A15" s="4" t="inlineStr">
        <is>
          <t>理念</t>
        </is>
      </c>
      <c r="B15" s="5" t="inlineStr">
        <is>
          <t>华为原话</t>
        </is>
      </c>
      <c r="C15" s="5" t="inlineStr">
        <is>
          <t>金凯博落地</t>
        </is>
      </c>
    </row>
    <row r="16">
      <c r="A16" s="6" t="inlineStr">
        <is>
          <t>让听得见炮声的人呼唤炮火</t>
        </is>
      </c>
      <c r="B16" s="7" t="inlineStr">
        <is>
          <t>一线铁三角有权直接调动后方资源</t>
        </is>
      </c>
      <c r="C16" s="7" t="inlineStr">
        <is>
          <t>项目铁三角可发起资源需求单，2小时内响应</t>
        </is>
      </c>
    </row>
    <row r="17">
      <c r="A17" s="6" t="inlineStr">
        <is>
          <t>班长的战争</t>
        </is>
      </c>
      <c r="B17" s="7" t="inlineStr">
        <is>
          <t>把指挥权交给离客户最近的人</t>
        </is>
      </c>
      <c r="C17" s="7" t="inlineStr">
        <is>
          <t>项目经理有预算内决策权，无需层层审批</t>
        </is>
      </c>
    </row>
    <row r="18">
      <c r="A18" s="6" t="inlineStr">
        <is>
          <t>拧麻花</t>
        </is>
      </c>
      <c r="B18" s="7" t="inlineStr">
        <is>
          <t>在扩张与管控之间动态平衡</t>
        </is>
      </c>
      <c r="C18" s="7" t="inlineStr">
        <is>
          <t>项目线(70%)+职能线(30%)双线考核</t>
        </is>
      </c>
    </row>
    <row r="19">
      <c r="A19" s="6" t="inlineStr">
        <is>
          <t>利出一孔</t>
        </is>
      </c>
      <c r="B19" s="7" t="inlineStr">
        <is>
          <t>所有人的利益与项目成功绑定</t>
        </is>
      </c>
      <c r="C19" s="7" t="inlineStr">
        <is>
          <t>项目奖金池，铁三角与成员共同分配</t>
        </is>
      </c>
    </row>
    <row r="20">
      <c r="A20" s="6" t="inlineStr">
        <is>
          <t>胜则举杯相庆，败则拼死相救</t>
        </is>
      </c>
      <c r="B20" s="7" t="inlineStr">
        <is>
          <t>团队共同承担成败</t>
        </is>
      </c>
      <c r="C20" s="7" t="inlineStr">
        <is>
          <t>四人共背KPI，一荣俱荣一损俱损</t>
        </is>
      </c>
    </row>
  </sheetData>
  <mergeCells count="2">
    <mergeCell ref="A1:G1"/>
    <mergeCell ref="A4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项目铁三角职责说明书</t>
        </is>
      </c>
    </row>
    <row r="3">
      <c r="A3" s="2" t="inlineStr">
        <is>
          <t>一、角色定义与KPI</t>
        </is>
      </c>
    </row>
    <row r="4">
      <c r="A4" s="4" t="inlineStr">
        <is>
          <t>角色</t>
        </is>
      </c>
      <c r="B4" s="4" t="inlineStr">
        <is>
          <t>英文</t>
        </is>
      </c>
      <c r="C4" s="5" t="inlineStr">
        <is>
          <t>核心职责</t>
        </is>
      </c>
      <c r="D4" s="5" t="inlineStr">
        <is>
          <t>考核指标</t>
        </is>
      </c>
      <c r="E4" s="5" t="inlineStr">
        <is>
          <t>权重</t>
        </is>
      </c>
      <c r="F4" s="5" t="inlineStr">
        <is>
          <t>任职要求</t>
        </is>
      </c>
    </row>
    <row r="5">
      <c r="A5" s="6" t="inlineStr">
        <is>
          <t>项目经理</t>
        </is>
      </c>
      <c r="B5" s="6" t="inlineStr">
        <is>
          <t>PM</t>
        </is>
      </c>
      <c r="C5" s="7" t="inlineStr">
        <is>
          <t>项目整体成功，对交期、成本、客户满意度负责</t>
        </is>
      </c>
      <c r="D5" s="7" t="inlineStr">
        <is>
          <t>按时交付率、项目毛利率、客户满意度</t>
        </is>
      </c>
      <c r="E5" s="7" t="inlineStr">
        <is>
          <t>100%</t>
        </is>
      </c>
      <c r="F5" s="7" t="inlineStr">
        <is>
          <t>3年以上项目经验，沟通协调能力强</t>
        </is>
      </c>
    </row>
    <row r="6">
      <c r="A6" s="6" t="inlineStr">
        <is>
          <t>技术负责人</t>
        </is>
      </c>
      <c r="B6" s="6" t="inlineStr">
        <is>
          <t>TE</t>
        </is>
      </c>
      <c r="C6" s="7" t="inlineStr">
        <is>
          <t>技术方案质量，对设计正确性、BOM准确性负责</t>
        </is>
      </c>
      <c r="D6" s="7" t="inlineStr">
        <is>
          <t>设计变更次数、BOM准确率、技术问题解决率</t>
        </is>
      </c>
      <c r="E6" s="7" t="inlineStr">
        <is>
          <t>100%</t>
        </is>
      </c>
      <c r="F6" s="7" t="inlineStr">
        <is>
          <t>5年以上技术经验，能独立负责整机设计</t>
        </is>
      </c>
    </row>
    <row r="7">
      <c r="A7" s="6" t="inlineStr">
        <is>
          <t>供应链负责人</t>
        </is>
      </c>
      <c r="B7" s="6" t="inlineStr">
        <is>
          <t>SC</t>
        </is>
      </c>
      <c r="C7" s="7" t="inlineStr">
        <is>
          <t>物料保障，对采购成本、到货及时率负责</t>
        </is>
      </c>
      <c r="D7" s="7" t="inlineStr">
        <is>
          <t>物料齐套率、采购成本节约、到货及时率</t>
        </is>
      </c>
      <c r="E7" s="7" t="inlineStr">
        <is>
          <t>100%</t>
        </is>
      </c>
      <c r="F7" s="7" t="inlineStr">
        <is>
          <t>3年以上采购经验，熟悉供应商资源</t>
        </is>
      </c>
    </row>
    <row r="8">
      <c r="A8" s="6" t="inlineStr">
        <is>
          <t>调试负责人</t>
        </is>
      </c>
      <c r="B8" s="6" t="inlineStr">
        <is>
          <t>CE</t>
        </is>
      </c>
      <c r="C8" s="7" t="inlineStr">
        <is>
          <t>调试交付，对调试进度、问题解决负责</t>
        </is>
      </c>
      <c r="D8" s="7" t="inlineStr">
        <is>
          <t>调试一次通过率、问题关闭率、客户验收通过率</t>
        </is>
      </c>
      <c r="E8" s="7" t="inlineStr">
        <is>
          <t>100%</t>
        </is>
      </c>
      <c r="F8" s="7" t="inlineStr">
        <is>
          <t>3年以上调试经验，能独立解决现场问题</t>
        </is>
      </c>
    </row>
    <row r="11">
      <c r="A11" s="9" t="inlineStr">
        <is>
          <t>二、项目经理(PM)详细职责</t>
        </is>
      </c>
    </row>
    <row r="12">
      <c r="A12" s="10" t="inlineStr">
        <is>
          <t>阶段</t>
        </is>
      </c>
      <c r="B12" s="10" t="inlineStr">
        <is>
          <t>职责内容</t>
        </is>
      </c>
      <c r="C12" s="10" t="inlineStr">
        <is>
          <t>关键动作</t>
        </is>
      </c>
      <c r="D12" s="10" t="inlineStr">
        <is>
          <t>输出物</t>
        </is>
      </c>
      <c r="E12" s="10" t="inlineStr">
        <is>
          <t>协作对象</t>
        </is>
      </c>
    </row>
    <row r="13">
      <c r="A13" s="7" t="inlineStr">
        <is>
          <t>项目启动</t>
        </is>
      </c>
      <c r="B13" s="7" t="inlineStr">
        <is>
          <t>组建铁三角团队，召开启动会</t>
        </is>
      </c>
      <c r="C13" s="7" t="inlineStr">
        <is>
          <t>明确目标、分工、计划</t>
        </is>
      </c>
      <c r="D13" s="7" t="inlineStr">
        <is>
          <t>项目计划、团队清单</t>
        </is>
      </c>
      <c r="E13" s="7" t="inlineStr">
        <is>
          <t>TE/SC/CE</t>
        </is>
      </c>
    </row>
    <row r="14">
      <c r="A14" s="7" t="inlineStr">
        <is>
          <t>方案阶段</t>
        </is>
      </c>
      <c r="B14" s="7" t="inlineStr">
        <is>
          <t>协调技术评审，确认客户需求</t>
        </is>
      </c>
      <c r="C14" s="7" t="inlineStr">
        <is>
          <t>组织方案评审会</t>
        </is>
      </c>
      <c r="D14" s="7" t="inlineStr">
        <is>
          <t>方案评审纪要</t>
        </is>
      </c>
      <c r="E14" s="7" t="inlineStr">
        <is>
          <t>TE、客户</t>
        </is>
      </c>
    </row>
    <row r="15">
      <c r="A15" s="7" t="inlineStr">
        <is>
          <t>设计阶段</t>
        </is>
      </c>
      <c r="B15" s="7" t="inlineStr">
        <is>
          <t>监控设计进度，协调资源</t>
        </is>
      </c>
      <c r="C15" s="7" t="inlineStr">
        <is>
          <t>每周进度检查</t>
        </is>
      </c>
      <c r="D15" s="7" t="inlineStr">
        <is>
          <t>进度周报</t>
        </is>
      </c>
      <c r="E15" s="7" t="inlineStr">
        <is>
          <t>TE</t>
        </is>
      </c>
    </row>
    <row r="16">
      <c r="A16" s="7" t="inlineStr">
        <is>
          <t>采购阶段</t>
        </is>
      </c>
      <c r="B16" s="7" t="inlineStr">
        <is>
          <t>监控物料到货，协调紧急物料</t>
        </is>
      </c>
      <c r="C16" s="7" t="inlineStr">
        <is>
          <t>每日齐套检查</t>
        </is>
      </c>
      <c r="D16" s="7" t="inlineStr">
        <is>
          <t>物料跟踪表</t>
        </is>
      </c>
      <c r="E16" s="7" t="inlineStr">
        <is>
          <t>SC</t>
        </is>
      </c>
    </row>
    <row r="17">
      <c r="A17" s="7" t="inlineStr">
        <is>
          <t>生产阶段</t>
        </is>
      </c>
      <c r="B17" s="7" t="inlineStr">
        <is>
          <t>协调生产排期，解决生产问题</t>
        </is>
      </c>
      <c r="C17" s="7" t="inlineStr">
        <is>
          <t>每日站会</t>
        </is>
      </c>
      <c r="D17" s="7" t="inlineStr">
        <is>
          <t>生产日报</t>
        </is>
      </c>
      <c r="E17" s="7" t="inlineStr">
        <is>
          <t>生产</t>
        </is>
      </c>
    </row>
    <row r="18">
      <c r="A18" s="7" t="inlineStr">
        <is>
          <t>调试阶段</t>
        </is>
      </c>
      <c r="B18" s="7" t="inlineStr">
        <is>
          <t>监控调试进度，协调问题解决</t>
        </is>
      </c>
      <c r="C18" s="7" t="inlineStr">
        <is>
          <t>问题升级处理</t>
        </is>
      </c>
      <c r="D18" s="7" t="inlineStr">
        <is>
          <t>调试报告</t>
        </is>
      </c>
      <c r="E18" s="7" t="inlineStr">
        <is>
          <t>CE</t>
        </is>
      </c>
    </row>
    <row r="19">
      <c r="A19" s="7" t="inlineStr">
        <is>
          <t>交付阶段</t>
        </is>
      </c>
      <c r="B19" s="7" t="inlineStr">
        <is>
          <t>组织客户验收，确保回款</t>
        </is>
      </c>
      <c r="C19" s="7" t="inlineStr">
        <is>
          <t>验收协调</t>
        </is>
      </c>
      <c r="D19" s="7" t="inlineStr">
        <is>
          <t>验收报告、回款</t>
        </is>
      </c>
      <c r="E19" s="7" t="inlineStr">
        <is>
          <t>客户、财务</t>
        </is>
      </c>
    </row>
    <row r="20">
      <c r="A20" s="7" t="inlineStr">
        <is>
          <t>项目收尾</t>
        </is>
      </c>
      <c r="B20" s="7" t="inlineStr">
        <is>
          <t>组织复盘，沉淀经验</t>
        </is>
      </c>
      <c r="C20" s="7" t="inlineStr">
        <is>
          <t>复盘会议</t>
        </is>
      </c>
      <c r="D20" s="7" t="inlineStr">
        <is>
          <t>复盘报告</t>
        </is>
      </c>
      <c r="E20" s="7" t="inlineStr">
        <is>
          <t>全员</t>
        </is>
      </c>
    </row>
    <row r="22">
      <c r="A22" s="9" t="inlineStr">
        <is>
          <t>三、技术负责人(TE)详细职责</t>
        </is>
      </c>
    </row>
    <row r="23">
      <c r="A23" s="10" t="inlineStr">
        <is>
          <t>阶段</t>
        </is>
      </c>
      <c r="B23" s="10" t="inlineStr">
        <is>
          <t>职责内容</t>
        </is>
      </c>
      <c r="C23" s="10" t="inlineStr">
        <is>
          <t>关键动作</t>
        </is>
      </c>
      <c r="D23" s="10" t="inlineStr">
        <is>
          <t>输出物</t>
        </is>
      </c>
      <c r="E23" s="10" t="inlineStr">
        <is>
          <t>质量标准</t>
        </is>
      </c>
    </row>
    <row r="24">
      <c r="A24" s="7" t="inlineStr">
        <is>
          <t>需求分析</t>
        </is>
      </c>
      <c r="B24" s="7" t="inlineStr">
        <is>
          <t>理解客户需求，转化为技术要求</t>
        </is>
      </c>
      <c r="C24" s="7" t="inlineStr">
        <is>
          <t>需求评审</t>
        </is>
      </c>
      <c r="D24" s="7" t="inlineStr">
        <is>
          <t>技术需求规格书</t>
        </is>
      </c>
      <c r="E24" s="7" t="inlineStr">
        <is>
          <t>客户确认签字</t>
        </is>
      </c>
    </row>
    <row r="25">
      <c r="A25" s="7" t="inlineStr">
        <is>
          <t>方案设计</t>
        </is>
      </c>
      <c r="B25" s="7" t="inlineStr">
        <is>
          <t>制定整体技术方案</t>
        </is>
      </c>
      <c r="C25" s="7" t="inlineStr">
        <is>
          <t>方案评审</t>
        </is>
      </c>
      <c r="D25" s="7" t="inlineStr">
        <is>
          <t>技术方案</t>
        </is>
      </c>
      <c r="E25" s="7" t="inlineStr">
        <is>
          <t>评审通过</t>
        </is>
      </c>
    </row>
    <row r="26">
      <c r="A26" s="7" t="inlineStr">
        <is>
          <t>详细设计</t>
        </is>
      </c>
      <c r="B26" s="7" t="inlineStr">
        <is>
          <t>完成机械/电气/软件详细设计</t>
        </is>
      </c>
      <c r="C26" s="7" t="inlineStr">
        <is>
          <t>设计评审</t>
        </is>
      </c>
      <c r="D26" s="7" t="inlineStr">
        <is>
          <t>图纸、BOM、程序</t>
        </is>
      </c>
      <c r="E26" s="7" t="inlineStr">
        <is>
          <t>评审通过</t>
        </is>
      </c>
    </row>
    <row r="27">
      <c r="A27" s="7" t="inlineStr">
        <is>
          <t>BOM发布</t>
        </is>
      </c>
      <c r="B27" s="7" t="inlineStr">
        <is>
          <t>确保BOM准确、完整</t>
        </is>
      </c>
      <c r="C27" s="7" t="inlineStr">
        <is>
          <t>BOM审核</t>
        </is>
      </c>
      <c r="D27" s="7" t="inlineStr">
        <is>
          <t>BOM清单</t>
        </is>
      </c>
      <c r="E27" s="7" t="inlineStr">
        <is>
          <t>准确率≥98%</t>
        </is>
      </c>
    </row>
    <row r="28">
      <c r="A28" s="7" t="inlineStr">
        <is>
          <t>技术支持</t>
        </is>
      </c>
      <c r="B28" s="7" t="inlineStr">
        <is>
          <t>解决生产、调试技术问题</t>
        </is>
      </c>
      <c r="C28" s="7" t="inlineStr">
        <is>
          <t>问题响应</t>
        </is>
      </c>
      <c r="D28" s="7" t="inlineStr">
        <is>
          <t>技术澄清</t>
        </is>
      </c>
      <c r="E28" s="7" t="inlineStr">
        <is>
          <t>24小时内响应</t>
        </is>
      </c>
    </row>
    <row r="29">
      <c r="A29" s="7" t="inlineStr">
        <is>
          <t>设计变更</t>
        </is>
      </c>
      <c r="B29" s="7" t="inlineStr">
        <is>
          <t>评估变更影响，控制变更</t>
        </is>
      </c>
      <c r="C29" s="7" t="inlineStr">
        <is>
          <t>ECN流程</t>
        </is>
      </c>
      <c r="D29" s="7" t="inlineStr">
        <is>
          <t>ECN单</t>
        </is>
      </c>
      <c r="E29" s="7" t="inlineStr">
        <is>
          <t>变更率≤5%</t>
        </is>
      </c>
    </row>
    <row r="30">
      <c r="A30" s="7" t="inlineStr">
        <is>
          <t>技术沉淀</t>
        </is>
      </c>
      <c r="B30" s="7" t="inlineStr">
        <is>
          <t>形成标准化模块、技术文档</t>
        </is>
      </c>
      <c r="C30" s="7" t="inlineStr">
        <is>
          <t>知识入库</t>
        </is>
      </c>
      <c r="D30" s="7" t="inlineStr">
        <is>
          <t>技术文档</t>
        </is>
      </c>
      <c r="E30" s="7" t="inlineStr">
        <is>
          <t>项目结束前完成</t>
        </is>
      </c>
    </row>
    <row r="32">
      <c r="A32" s="9" t="inlineStr">
        <is>
          <t>四、供应链负责人(SC)详细职责</t>
        </is>
      </c>
    </row>
    <row r="33">
      <c r="A33" s="10" t="inlineStr">
        <is>
          <t>阶段</t>
        </is>
      </c>
      <c r="B33" s="10" t="inlineStr">
        <is>
          <t>职责内容</t>
        </is>
      </c>
      <c r="C33" s="10" t="inlineStr">
        <is>
          <t>关键动作</t>
        </is>
      </c>
      <c r="D33" s="10" t="inlineStr">
        <is>
          <t>输出物</t>
        </is>
      </c>
      <c r="E33" s="10" t="inlineStr">
        <is>
          <t>质量标准</t>
        </is>
      </c>
    </row>
    <row r="34">
      <c r="A34" s="7" t="inlineStr">
        <is>
          <t>BOM接收</t>
        </is>
      </c>
      <c r="B34" s="7" t="inlineStr">
        <is>
          <t>审核BOM可采购性，识别风险物料</t>
        </is>
      </c>
      <c r="C34" s="7" t="inlineStr">
        <is>
          <t>BOM评审</t>
        </is>
      </c>
      <c r="D34" s="7" t="inlineStr">
        <is>
          <t>采购风险清单</t>
        </is>
      </c>
      <c r="E34" s="7" t="inlineStr">
        <is>
          <t>2天内完成</t>
        </is>
      </c>
    </row>
    <row r="35">
      <c r="A35" s="7" t="inlineStr">
        <is>
          <t>询价比价</t>
        </is>
      </c>
      <c r="B35" s="7" t="inlineStr">
        <is>
          <t>获取报价，选择供应商</t>
        </is>
      </c>
      <c r="C35" s="7" t="inlineStr">
        <is>
          <t>比价分析</t>
        </is>
      </c>
      <c r="D35" s="7" t="inlineStr">
        <is>
          <t>供应商选择报告</t>
        </is>
      </c>
      <c r="E35" s="7" t="inlineStr">
        <is>
          <t>至少3家比价</t>
        </is>
      </c>
    </row>
    <row r="36">
      <c r="A36" s="7" t="inlineStr">
        <is>
          <t>采购下单</t>
        </is>
      </c>
      <c r="B36" s="7" t="inlineStr">
        <is>
          <t>及时下达采购订单</t>
        </is>
      </c>
      <c r="C36" s="7" t="inlineStr">
        <is>
          <t>订单跟踪</t>
        </is>
      </c>
      <c r="D36" s="7" t="inlineStr">
        <is>
          <t>采购订单</t>
        </is>
      </c>
      <c r="E36" s="7" t="inlineStr">
        <is>
          <t>BOM发布后3天内</t>
        </is>
      </c>
    </row>
    <row r="37">
      <c r="A37" s="7" t="inlineStr">
        <is>
          <t>到货跟催</t>
        </is>
      </c>
      <c r="B37" s="7" t="inlineStr">
        <is>
          <t>跟踪物料到货，处理异常</t>
        </is>
      </c>
      <c r="C37" s="7" t="inlineStr">
        <is>
          <t>每日跟催</t>
        </is>
      </c>
      <c r="D37" s="7" t="inlineStr">
        <is>
          <t>到货跟踪表</t>
        </is>
      </c>
      <c r="E37" s="7" t="inlineStr">
        <is>
          <t>及时率≥95%</t>
        </is>
      </c>
    </row>
    <row r="38">
      <c r="A38" s="7" t="inlineStr">
        <is>
          <t>来料检验</t>
        </is>
      </c>
      <c r="B38" s="7" t="inlineStr">
        <is>
          <t>协调来料检验，处理不良</t>
        </is>
      </c>
      <c r="C38" s="7" t="inlineStr">
        <is>
          <t>IQC协调</t>
        </is>
      </c>
      <c r="D38" s="7" t="inlineStr">
        <is>
          <t>检验报告</t>
        </is>
      </c>
      <c r="E38" s="7" t="inlineStr">
        <is>
          <t>不良处理≤3天</t>
        </is>
      </c>
    </row>
    <row r="39">
      <c r="A39" s="7" t="inlineStr">
        <is>
          <t>齐套管理</t>
        </is>
      </c>
      <c r="B39" s="7" t="inlineStr">
        <is>
          <t>确保物料齐套，支持生产</t>
        </is>
      </c>
      <c r="C39" s="7" t="inlineStr">
        <is>
          <t>齐套检查</t>
        </is>
      </c>
      <c r="D39" s="7" t="inlineStr">
        <is>
          <t>齐套报告</t>
        </is>
      </c>
      <c r="E39" s="7" t="inlineStr">
        <is>
          <t>开工前100%齐套</t>
        </is>
      </c>
    </row>
    <row r="40">
      <c r="A40" s="7" t="inlineStr">
        <is>
          <t>成本控制</t>
        </is>
      </c>
      <c r="B40" s="7" t="inlineStr">
        <is>
          <t>控制采购成本，寻找降本机会</t>
        </is>
      </c>
      <c r="C40" s="7" t="inlineStr">
        <is>
          <t>成本分析</t>
        </is>
      </c>
      <c r="D40" s="7" t="inlineStr">
        <is>
          <t>成本节约报告</t>
        </is>
      </c>
      <c r="E40" s="7" t="inlineStr">
        <is>
          <t>目标节约3%</t>
        </is>
      </c>
    </row>
    <row r="42">
      <c r="A42" s="9" t="inlineStr">
        <is>
          <t>五、调试负责人(CE)详细职责</t>
        </is>
      </c>
    </row>
    <row r="43">
      <c r="A43" s="10" t="inlineStr">
        <is>
          <t>阶段</t>
        </is>
      </c>
      <c r="B43" s="10" t="inlineStr">
        <is>
          <t>职责内容</t>
        </is>
      </c>
      <c r="C43" s="10" t="inlineStr">
        <is>
          <t>关键动作</t>
        </is>
      </c>
      <c r="D43" s="10" t="inlineStr">
        <is>
          <t>输出物</t>
        </is>
      </c>
      <c r="E43" s="10" t="inlineStr">
        <is>
          <t>质量标准</t>
        </is>
      </c>
    </row>
    <row r="44">
      <c r="A44" s="7" t="inlineStr">
        <is>
          <t>调试准备</t>
        </is>
      </c>
      <c r="B44" s="7" t="inlineStr">
        <is>
          <t>了解设备原理，准备调试方案</t>
        </is>
      </c>
      <c r="C44" s="7" t="inlineStr">
        <is>
          <t>方案制定</t>
        </is>
      </c>
      <c r="D44" s="7" t="inlineStr">
        <is>
          <t>调试方案</t>
        </is>
      </c>
      <c r="E44" s="7" t="inlineStr">
        <is>
          <t>生产完成前</t>
        </is>
      </c>
    </row>
    <row r="45">
      <c r="A45" s="7" t="inlineStr">
        <is>
          <t>单机调试</t>
        </is>
      </c>
      <c r="B45" s="7" t="inlineStr">
        <is>
          <t>完成单机功能调试</t>
        </is>
      </c>
      <c r="C45" s="7" t="inlineStr">
        <is>
          <t>功能验证</t>
        </is>
      </c>
      <c r="D45" s="7" t="inlineStr">
        <is>
          <t>调试记录</t>
        </is>
      </c>
      <c r="E45" s="7" t="inlineStr">
        <is>
          <t>功能100%OK</t>
        </is>
      </c>
    </row>
    <row r="46">
      <c r="A46" s="7" t="inlineStr">
        <is>
          <t>联调</t>
        </is>
      </c>
      <c r="B46" s="7" t="inlineStr">
        <is>
          <t>完成整机联调，验证整体功能</t>
        </is>
      </c>
      <c r="C46" s="7" t="inlineStr">
        <is>
          <t>联调测试</t>
        </is>
      </c>
      <c r="D46" s="7" t="inlineStr">
        <is>
          <t>联调报告</t>
        </is>
      </c>
      <c r="E46" s="7" t="inlineStr">
        <is>
          <t>通过率≥95%</t>
        </is>
      </c>
    </row>
    <row r="47">
      <c r="A47" s="7" t="inlineStr">
        <is>
          <t>问题处理</t>
        </is>
      </c>
      <c r="B47" s="7" t="inlineStr">
        <is>
          <t>分析解决调试问题</t>
        </is>
      </c>
      <c r="C47" s="7" t="inlineStr">
        <is>
          <t>问题闭环</t>
        </is>
      </c>
      <c r="D47" s="7" t="inlineStr">
        <is>
          <t>问题清单</t>
        </is>
      </c>
      <c r="E47" s="7" t="inlineStr">
        <is>
          <t>问题关闭率100%</t>
        </is>
      </c>
    </row>
    <row r="48">
      <c r="A48" s="7" t="inlineStr">
        <is>
          <t>客户FAT</t>
        </is>
      </c>
      <c r="B48" s="7" t="inlineStr">
        <is>
          <t>配合客户厂内验收</t>
        </is>
      </c>
      <c r="C48" s="7" t="inlineStr">
        <is>
          <t>FAT测试</t>
        </is>
      </c>
      <c r="D48" s="7" t="inlineStr">
        <is>
          <t>FAT报告</t>
        </is>
      </c>
      <c r="E48" s="7" t="inlineStr">
        <is>
          <t>客户签字</t>
        </is>
      </c>
    </row>
    <row r="49">
      <c r="A49" s="7" t="inlineStr">
        <is>
          <t>现场安装</t>
        </is>
      </c>
      <c r="B49" s="7" t="inlineStr">
        <is>
          <t>完成现场安装调试</t>
        </is>
      </c>
      <c r="C49" s="7" t="inlineStr">
        <is>
          <t>现场调试</t>
        </is>
      </c>
      <c r="D49" s="7" t="inlineStr">
        <is>
          <t>安装报告</t>
        </is>
      </c>
      <c r="E49" s="7" t="inlineStr">
        <is>
          <t>按期完成</t>
        </is>
      </c>
    </row>
    <row r="50">
      <c r="A50" s="7" t="inlineStr">
        <is>
          <t>客户SAT</t>
        </is>
      </c>
      <c r="B50" s="7" t="inlineStr">
        <is>
          <t>完成现场验收，获得签字</t>
        </is>
      </c>
      <c r="C50" s="7" t="inlineStr">
        <is>
          <t>SAT测试</t>
        </is>
      </c>
      <c r="D50" s="7" t="inlineStr">
        <is>
          <t>SAT报告</t>
        </is>
      </c>
      <c r="E50" s="7" t="inlineStr">
        <is>
          <t>客户签字验收</t>
        </is>
      </c>
    </row>
  </sheetData>
  <mergeCells count="5">
    <mergeCell ref="A11:F11"/>
    <mergeCell ref="A42:F42"/>
    <mergeCell ref="A1:F1"/>
    <mergeCell ref="A32:F32"/>
    <mergeCell ref="A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2" customWidth="1" min="5" max="5"/>
    <col width="25" customWidth="1" min="6" max="6"/>
  </cols>
  <sheetData>
    <row r="1">
      <c r="A1" s="8" t="inlineStr">
        <is>
          <t>项目铁三角权责边界清单</t>
        </is>
      </c>
    </row>
    <row r="3">
      <c r="A3" s="11" t="inlineStr">
        <is>
          <t>【核心原则】日常决策授权一线，重大事项按规则审批</t>
        </is>
      </c>
    </row>
    <row r="5">
      <c r="A5" s="4" t="inlineStr">
        <is>
          <t>决策事项</t>
        </is>
      </c>
      <c r="B5" s="4" t="inlineStr">
        <is>
          <t>决策权归属</t>
        </is>
      </c>
      <c r="C5" s="4" t="inlineStr">
        <is>
          <t>是否需审批</t>
        </is>
      </c>
      <c r="D5" s="4" t="inlineStr">
        <is>
          <t>审批人</t>
        </is>
      </c>
      <c r="E5" s="4" t="inlineStr">
        <is>
          <t>响应时效</t>
        </is>
      </c>
      <c r="F5" s="4" t="inlineStr">
        <is>
          <t>备注</t>
        </is>
      </c>
    </row>
    <row r="6">
      <c r="A6" s="12" t="inlineStr">
        <is>
          <t>【项目管理类】</t>
        </is>
      </c>
      <c r="B6" s="12" t="inlineStr"/>
      <c r="C6" s="12" t="inlineStr"/>
      <c r="D6" s="12" t="inlineStr"/>
      <c r="E6" s="12" t="inlineStr"/>
      <c r="F6" s="12" t="inlineStr"/>
    </row>
    <row r="7">
      <c r="A7" s="6" t="inlineStr">
        <is>
          <t>项目内部进度调整</t>
        </is>
      </c>
      <c r="B7" s="6" t="inlineStr">
        <is>
          <t>PM</t>
        </is>
      </c>
      <c r="C7" s="13" t="inlineStr">
        <is>
          <t>否</t>
        </is>
      </c>
      <c r="D7" s="6" t="inlineStr">
        <is>
          <t>-</t>
        </is>
      </c>
      <c r="E7" s="6" t="inlineStr">
        <is>
          <t>即时</t>
        </is>
      </c>
      <c r="F7" s="6" t="inlineStr">
        <is>
          <t>不影响最终交期</t>
        </is>
      </c>
    </row>
    <row r="8">
      <c r="A8" s="6" t="inlineStr">
        <is>
          <t>项目内部任务分配</t>
        </is>
      </c>
      <c r="B8" s="6" t="inlineStr">
        <is>
          <t>PM</t>
        </is>
      </c>
      <c r="C8" s="13" t="inlineStr">
        <is>
          <t>否</t>
        </is>
      </c>
      <c r="D8" s="6" t="inlineStr">
        <is>
          <t>-</t>
        </is>
      </c>
      <c r="E8" s="6" t="inlineStr">
        <is>
          <t>即时</t>
        </is>
      </c>
      <c r="F8" s="6" t="inlineStr"/>
    </row>
    <row r="9">
      <c r="A9" s="6" t="inlineStr">
        <is>
          <t>项目会议召集</t>
        </is>
      </c>
      <c r="B9" s="6" t="inlineStr">
        <is>
          <t>PM</t>
        </is>
      </c>
      <c r="C9" s="13" t="inlineStr">
        <is>
          <t>否</t>
        </is>
      </c>
      <c r="D9" s="6" t="inlineStr">
        <is>
          <t>-</t>
        </is>
      </c>
      <c r="E9" s="6" t="inlineStr">
        <is>
          <t>即时</t>
        </is>
      </c>
      <c r="F9" s="6" t="inlineStr"/>
    </row>
    <row r="10">
      <c r="A10" s="6" t="inlineStr">
        <is>
          <t>项目计划变更（延期≤1周）</t>
        </is>
      </c>
      <c r="B10" s="6" t="inlineStr">
        <is>
          <t>PM</t>
        </is>
      </c>
      <c r="C10" s="13" t="inlineStr">
        <is>
          <t>否</t>
        </is>
      </c>
      <c r="D10" s="6" t="inlineStr">
        <is>
          <t>-</t>
        </is>
      </c>
      <c r="E10" s="6" t="inlineStr">
        <is>
          <t>即时</t>
        </is>
      </c>
      <c r="F10" s="6" t="inlineStr">
        <is>
          <t>需知会客户</t>
        </is>
      </c>
    </row>
    <row r="11">
      <c r="A11" s="6" t="inlineStr">
        <is>
          <t>项目计划变更（延期&gt;1周）</t>
        </is>
      </c>
      <c r="B11" s="6" t="inlineStr">
        <is>
          <t>PM提议</t>
        </is>
      </c>
      <c r="C11" s="14" t="inlineStr">
        <is>
          <t>是</t>
        </is>
      </c>
      <c r="D11" s="6" t="inlineStr">
        <is>
          <t>运营总监</t>
        </is>
      </c>
      <c r="E11" s="6" t="inlineStr">
        <is>
          <t>1天</t>
        </is>
      </c>
      <c r="F11" s="6" t="inlineStr">
        <is>
          <t>需客户确认</t>
        </is>
      </c>
    </row>
    <row r="12">
      <c r="A12" s="6" t="inlineStr">
        <is>
          <t>项目终止/暂停</t>
        </is>
      </c>
      <c r="B12" s="6" t="inlineStr">
        <is>
          <t>PM提议</t>
        </is>
      </c>
      <c r="C12" s="14" t="inlineStr">
        <is>
          <t>是</t>
        </is>
      </c>
      <c r="D12" s="6" t="inlineStr">
        <is>
          <t>总经理</t>
        </is>
      </c>
      <c r="E12" s="6" t="inlineStr">
        <is>
          <t>3天</t>
        </is>
      </c>
      <c r="F12" s="6" t="inlineStr">
        <is>
          <t>重大决策</t>
        </is>
      </c>
    </row>
    <row r="13">
      <c r="A13" s="12" t="inlineStr">
        <is>
          <t>【技术决策类】</t>
        </is>
      </c>
      <c r="B13" s="12" t="inlineStr"/>
      <c r="C13" s="12" t="inlineStr"/>
      <c r="D13" s="12" t="inlineStr"/>
      <c r="E13" s="12" t="inlineStr"/>
      <c r="F13" s="12" t="inlineStr"/>
    </row>
    <row r="14">
      <c r="A14" s="6" t="inlineStr">
        <is>
          <t>技术方案选择</t>
        </is>
      </c>
      <c r="B14" s="6" t="inlineStr">
        <is>
          <t>TE</t>
        </is>
      </c>
      <c r="C14" s="13" t="inlineStr">
        <is>
          <t>否</t>
        </is>
      </c>
      <c r="D14" s="6" t="inlineStr">
        <is>
          <t>-</t>
        </is>
      </c>
      <c r="E14" s="6" t="inlineStr">
        <is>
          <t>即时</t>
        </is>
      </c>
      <c r="F14" s="6" t="inlineStr">
        <is>
          <t>在评审通过的范围内</t>
        </is>
      </c>
    </row>
    <row r="15">
      <c r="A15" s="6" t="inlineStr">
        <is>
          <t>设计变更（小变更）</t>
        </is>
      </c>
      <c r="B15" s="6" t="inlineStr">
        <is>
          <t>TE</t>
        </is>
      </c>
      <c r="C15" s="13" t="inlineStr">
        <is>
          <t>否</t>
        </is>
      </c>
      <c r="D15" s="6" t="inlineStr">
        <is>
          <t>-</t>
        </is>
      </c>
      <c r="E15" s="6" t="inlineStr">
        <is>
          <t>即时</t>
        </is>
      </c>
      <c r="F15" s="6" t="inlineStr">
        <is>
          <t>不影响成本/交期</t>
        </is>
      </c>
    </row>
    <row r="16">
      <c r="A16" s="6" t="inlineStr">
        <is>
          <t>设计变更（中变更）</t>
        </is>
      </c>
      <c r="B16" s="6" t="inlineStr">
        <is>
          <t>TE提议</t>
        </is>
      </c>
      <c r="C16" s="14" t="inlineStr">
        <is>
          <t>是</t>
        </is>
      </c>
      <c r="D16" s="6" t="inlineStr">
        <is>
          <t>PM确认</t>
        </is>
      </c>
      <c r="E16" s="6" t="inlineStr">
        <is>
          <t>4小时</t>
        </is>
      </c>
      <c r="F16" s="6" t="inlineStr">
        <is>
          <t>影响≤5%成本</t>
        </is>
      </c>
    </row>
    <row r="17">
      <c r="A17" s="6" t="inlineStr">
        <is>
          <t>设计变更（大变更）</t>
        </is>
      </c>
      <c r="B17" s="6" t="inlineStr">
        <is>
          <t>TE提议</t>
        </is>
      </c>
      <c r="C17" s="14" t="inlineStr">
        <is>
          <t>是</t>
        </is>
      </c>
      <c r="D17" s="6" t="inlineStr">
        <is>
          <t>ECN流程</t>
        </is>
      </c>
      <c r="E17" s="6" t="inlineStr">
        <is>
          <t>1天</t>
        </is>
      </c>
      <c r="F17" s="6" t="inlineStr">
        <is>
          <t>影响&gt;5%成本</t>
        </is>
      </c>
    </row>
    <row r="18">
      <c r="A18" s="6" t="inlineStr">
        <is>
          <t>BOM发布/变更</t>
        </is>
      </c>
      <c r="B18" s="6" t="inlineStr">
        <is>
          <t>TE</t>
        </is>
      </c>
      <c r="C18" s="14" t="inlineStr">
        <is>
          <t>是</t>
        </is>
      </c>
      <c r="D18" s="6" t="inlineStr">
        <is>
          <t>PM确认</t>
        </is>
      </c>
      <c r="E18" s="6" t="inlineStr">
        <is>
          <t>4小时</t>
        </is>
      </c>
      <c r="F18" s="6" t="inlineStr"/>
    </row>
    <row r="19">
      <c r="A19" s="6" t="inlineStr">
        <is>
          <t>新技术/新工艺引入</t>
        </is>
      </c>
      <c r="B19" s="6" t="inlineStr">
        <is>
          <t>TE提议</t>
        </is>
      </c>
      <c r="C19" s="14" t="inlineStr">
        <is>
          <t>是</t>
        </is>
      </c>
      <c r="D19" s="6" t="inlineStr">
        <is>
          <t>技术总监</t>
        </is>
      </c>
      <c r="E19" s="6" t="inlineStr">
        <is>
          <t>3天</t>
        </is>
      </c>
      <c r="F19" s="6" t="inlineStr">
        <is>
          <t>需评估风险</t>
        </is>
      </c>
    </row>
    <row r="20">
      <c r="A20" s="12" t="inlineStr">
        <is>
          <t>【采购决策类】</t>
        </is>
      </c>
      <c r="B20" s="12" t="inlineStr"/>
      <c r="C20" s="12" t="inlineStr"/>
      <c r="D20" s="12" t="inlineStr"/>
      <c r="E20" s="12" t="inlineStr"/>
      <c r="F20" s="12" t="inlineStr"/>
    </row>
    <row r="21">
      <c r="A21" s="6" t="inlineStr">
        <is>
          <t>常规物料采购（预算内）</t>
        </is>
      </c>
      <c r="B21" s="6" t="inlineStr">
        <is>
          <t>SC</t>
        </is>
      </c>
      <c r="C21" s="13" t="inlineStr">
        <is>
          <t>否</t>
        </is>
      </c>
      <c r="D21" s="6" t="inlineStr">
        <is>
          <t>-</t>
        </is>
      </c>
      <c r="E21" s="6" t="inlineStr">
        <is>
          <t>即时</t>
        </is>
      </c>
      <c r="F21" s="6" t="inlineStr">
        <is>
          <t>按BOM执行</t>
        </is>
      </c>
    </row>
    <row r="22">
      <c r="A22" s="6" t="inlineStr">
        <is>
          <t>紧急物料采购（预算内）</t>
        </is>
      </c>
      <c r="B22" s="6" t="inlineStr">
        <is>
          <t>SC</t>
        </is>
      </c>
      <c r="C22" s="14" t="inlineStr">
        <is>
          <t>是</t>
        </is>
      </c>
      <c r="D22" s="6" t="inlineStr">
        <is>
          <t>PM确认</t>
        </is>
      </c>
      <c r="E22" s="6" t="inlineStr">
        <is>
          <t>2小时</t>
        </is>
      </c>
      <c r="F22" s="6" t="inlineStr"/>
    </row>
    <row r="23">
      <c r="A23" s="6" t="inlineStr">
        <is>
          <t>超预算采购（≤10%）</t>
        </is>
      </c>
      <c r="B23" s="6" t="inlineStr">
        <is>
          <t>SC提议</t>
        </is>
      </c>
      <c r="C23" s="14" t="inlineStr">
        <is>
          <t>是</t>
        </is>
      </c>
      <c r="D23" s="6" t="inlineStr">
        <is>
          <t>PM审批</t>
        </is>
      </c>
      <c r="E23" s="6" t="inlineStr">
        <is>
          <t>4小时</t>
        </is>
      </c>
      <c r="F23" s="6" t="inlineStr"/>
    </row>
    <row r="24">
      <c r="A24" s="6" t="inlineStr">
        <is>
          <t>超预算采购（&gt;10%）</t>
        </is>
      </c>
      <c r="B24" s="6" t="inlineStr">
        <is>
          <t>SC提议</t>
        </is>
      </c>
      <c r="C24" s="14" t="inlineStr">
        <is>
          <t>是</t>
        </is>
      </c>
      <c r="D24" s="6" t="inlineStr">
        <is>
          <t>运营总监</t>
        </is>
      </c>
      <c r="E24" s="6" t="inlineStr">
        <is>
          <t>1天</t>
        </is>
      </c>
      <c r="F24" s="6" t="inlineStr"/>
    </row>
    <row r="25">
      <c r="A25" s="6" t="inlineStr">
        <is>
          <t>供应商选择（新供应商）</t>
        </is>
      </c>
      <c r="B25" s="6" t="inlineStr">
        <is>
          <t>SC提议</t>
        </is>
      </c>
      <c r="C25" s="14" t="inlineStr">
        <is>
          <t>是</t>
        </is>
      </c>
      <c r="D25" s="6" t="inlineStr">
        <is>
          <t>采购经理</t>
        </is>
      </c>
      <c r="E25" s="6" t="inlineStr">
        <is>
          <t>3天</t>
        </is>
      </c>
      <c r="F25" s="6" t="inlineStr">
        <is>
          <t>需评审</t>
        </is>
      </c>
    </row>
    <row r="26">
      <c r="A26" s="6" t="inlineStr">
        <is>
          <t>供应商选择（已认证）</t>
        </is>
      </c>
      <c r="B26" s="6" t="inlineStr">
        <is>
          <t>SC</t>
        </is>
      </c>
      <c r="C26" s="13" t="inlineStr">
        <is>
          <t>否</t>
        </is>
      </c>
      <c r="D26" s="6" t="inlineStr">
        <is>
          <t>-</t>
        </is>
      </c>
      <c r="E26" s="6" t="inlineStr">
        <is>
          <t>即时</t>
        </is>
      </c>
      <c r="F26" s="6" t="inlineStr"/>
    </row>
    <row r="27">
      <c r="A27" s="6" t="inlineStr">
        <is>
          <t>外协加工（预算内）</t>
        </is>
      </c>
      <c r="B27" s="6" t="inlineStr">
        <is>
          <t>SC</t>
        </is>
      </c>
      <c r="C27" s="14" t="inlineStr">
        <is>
          <t>是</t>
        </is>
      </c>
      <c r="D27" s="6" t="inlineStr">
        <is>
          <t>PM确认</t>
        </is>
      </c>
      <c r="E27" s="6" t="inlineStr">
        <is>
          <t>4小时</t>
        </is>
      </c>
      <c r="F27" s="6" t="inlineStr"/>
    </row>
    <row r="28">
      <c r="A28" s="6" t="inlineStr">
        <is>
          <t>外协加工（超预算）</t>
        </is>
      </c>
      <c r="B28" s="6" t="inlineStr">
        <is>
          <t>SC提议</t>
        </is>
      </c>
      <c r="C28" s="14" t="inlineStr">
        <is>
          <t>是</t>
        </is>
      </c>
      <c r="D28" s="6" t="inlineStr">
        <is>
          <t>运营总监</t>
        </is>
      </c>
      <c r="E28" s="6" t="inlineStr">
        <is>
          <t>1天</t>
        </is>
      </c>
      <c r="F28" s="6" t="inlineStr"/>
    </row>
    <row r="29">
      <c r="A29" s="12" t="inlineStr">
        <is>
          <t>【调试交付类】</t>
        </is>
      </c>
      <c r="B29" s="12" t="inlineStr"/>
      <c r="C29" s="12" t="inlineStr"/>
      <c r="D29" s="12" t="inlineStr"/>
      <c r="E29" s="12" t="inlineStr"/>
      <c r="F29" s="12" t="inlineStr"/>
    </row>
    <row r="30">
      <c r="A30" s="6" t="inlineStr">
        <is>
          <t>调试方案制定</t>
        </is>
      </c>
      <c r="B30" s="6" t="inlineStr">
        <is>
          <t>CE</t>
        </is>
      </c>
      <c r="C30" s="13" t="inlineStr">
        <is>
          <t>否</t>
        </is>
      </c>
      <c r="D30" s="6" t="inlineStr">
        <is>
          <t>-</t>
        </is>
      </c>
      <c r="E30" s="6" t="inlineStr">
        <is>
          <t>即时</t>
        </is>
      </c>
      <c r="F30" s="6" t="inlineStr"/>
    </row>
    <row r="31">
      <c r="A31" s="6" t="inlineStr">
        <is>
          <t>调试问题处理方案</t>
        </is>
      </c>
      <c r="B31" s="6" t="inlineStr">
        <is>
          <t>CE</t>
        </is>
      </c>
      <c r="C31" s="13" t="inlineStr">
        <is>
          <t>否</t>
        </is>
      </c>
      <c r="D31" s="6" t="inlineStr">
        <is>
          <t>-</t>
        </is>
      </c>
      <c r="E31" s="6" t="inlineStr">
        <is>
          <t>即时</t>
        </is>
      </c>
      <c r="F31" s="6" t="inlineStr">
        <is>
          <t>常规问题</t>
        </is>
      </c>
    </row>
    <row r="32">
      <c r="A32" s="6" t="inlineStr">
        <is>
          <t>调试问题升级（技术）</t>
        </is>
      </c>
      <c r="B32" s="6" t="inlineStr">
        <is>
          <t>CE提议</t>
        </is>
      </c>
      <c r="C32" s="14" t="inlineStr">
        <is>
          <t>是</t>
        </is>
      </c>
      <c r="D32" s="6" t="inlineStr">
        <is>
          <t>TE响应</t>
        </is>
      </c>
      <c r="E32" s="6" t="inlineStr">
        <is>
          <t>4小时</t>
        </is>
      </c>
      <c r="F32" s="6" t="inlineStr">
        <is>
          <t>需技术支持</t>
        </is>
      </c>
    </row>
    <row r="33">
      <c r="A33" s="6" t="inlineStr">
        <is>
          <t>客户验收安排</t>
        </is>
      </c>
      <c r="B33" s="6" t="inlineStr">
        <is>
          <t>CE</t>
        </is>
      </c>
      <c r="C33" s="14" t="inlineStr">
        <is>
          <t>是</t>
        </is>
      </c>
      <c r="D33" s="6" t="inlineStr">
        <is>
          <t>PM确认</t>
        </is>
      </c>
      <c r="E33" s="6" t="inlineStr">
        <is>
          <t>1天</t>
        </is>
      </c>
      <c r="F33" s="6" t="inlineStr">
        <is>
          <t>需客户配合</t>
        </is>
      </c>
    </row>
    <row r="34">
      <c r="A34" s="6" t="inlineStr">
        <is>
          <t>现场出差安排</t>
        </is>
      </c>
      <c r="B34" s="6" t="inlineStr">
        <is>
          <t>CE</t>
        </is>
      </c>
      <c r="C34" s="14" t="inlineStr">
        <is>
          <t>是</t>
        </is>
      </c>
      <c r="D34" s="6" t="inlineStr">
        <is>
          <t>PM确认</t>
        </is>
      </c>
      <c r="E34" s="6" t="inlineStr">
        <is>
          <t>1天</t>
        </is>
      </c>
      <c r="F34" s="6" t="inlineStr"/>
    </row>
    <row r="35">
      <c r="A35" s="12" t="inlineStr">
        <is>
          <t>【人员调配类】</t>
        </is>
      </c>
      <c r="B35" s="12" t="inlineStr"/>
      <c r="C35" s="12" t="inlineStr"/>
      <c r="D35" s="12" t="inlineStr"/>
      <c r="E35" s="12" t="inlineStr"/>
      <c r="F35" s="12" t="inlineStr"/>
    </row>
    <row r="36">
      <c r="A36" s="6" t="inlineStr">
        <is>
          <t>项目内人员任务调整</t>
        </is>
      </c>
      <c r="B36" s="6" t="inlineStr">
        <is>
          <t>PM</t>
        </is>
      </c>
      <c r="C36" s="13" t="inlineStr">
        <is>
          <t>否</t>
        </is>
      </c>
      <c r="D36" s="6" t="inlineStr">
        <is>
          <t>-</t>
        </is>
      </c>
      <c r="E36" s="6" t="inlineStr">
        <is>
          <t>即时</t>
        </is>
      </c>
      <c r="F36" s="6" t="inlineStr"/>
    </row>
    <row r="37">
      <c r="A37" s="6" t="inlineStr">
        <is>
          <t>借调人员（≤1周）</t>
        </is>
      </c>
      <c r="B37" s="6" t="inlineStr">
        <is>
          <t>PM协商</t>
        </is>
      </c>
      <c r="C37" s="14" t="inlineStr">
        <is>
          <t>是</t>
        </is>
      </c>
      <c r="D37" s="6" t="inlineStr">
        <is>
          <t>对方部门确认</t>
        </is>
      </c>
      <c r="E37" s="6" t="inlineStr">
        <is>
          <t>4小时</t>
        </is>
      </c>
      <c r="F37" s="6" t="inlineStr"/>
    </row>
    <row r="38">
      <c r="A38" s="6" t="inlineStr">
        <is>
          <t>借调人员（&gt;1周）</t>
        </is>
      </c>
      <c r="B38" s="6" t="inlineStr">
        <is>
          <t>PM申请</t>
        </is>
      </c>
      <c r="C38" s="14" t="inlineStr">
        <is>
          <t>是</t>
        </is>
      </c>
      <c r="D38" s="6" t="inlineStr">
        <is>
          <t>HR协调</t>
        </is>
      </c>
      <c r="E38" s="6" t="inlineStr">
        <is>
          <t>1天</t>
        </is>
      </c>
      <c r="F38" s="6" t="inlineStr"/>
    </row>
    <row r="39">
      <c r="A39" s="6" t="inlineStr">
        <is>
          <t>加班安排</t>
        </is>
      </c>
      <c r="B39" s="6" t="inlineStr">
        <is>
          <t>PM</t>
        </is>
      </c>
      <c r="C39" s="14" t="inlineStr">
        <is>
          <t>是</t>
        </is>
      </c>
      <c r="D39" s="6" t="inlineStr">
        <is>
          <t>部门主管确认</t>
        </is>
      </c>
      <c r="E39" s="6" t="inlineStr">
        <is>
          <t>4小时</t>
        </is>
      </c>
      <c r="F39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</cols>
  <sheetData>
    <row r="1">
      <c r="A1" s="8" t="inlineStr">
        <is>
          <t>资源需求单</t>
        </is>
      </c>
    </row>
    <row r="2">
      <c r="A2" t="inlineStr">
        <is>
          <t>表单编号：RR-001</t>
        </is>
      </c>
      <c r="E2" t="inlineStr">
        <is>
          <t>版本：V1.0</t>
        </is>
      </c>
    </row>
    <row r="4">
      <c r="A4" s="15" t="inlineStr">
        <is>
          <t>一、需求信息</t>
        </is>
      </c>
    </row>
    <row r="5">
      <c r="A5" s="12" t="inlineStr">
        <is>
          <t>需求单号</t>
        </is>
      </c>
      <c r="B5" s="16" t="inlineStr"/>
      <c r="C5" s="12" t="inlineStr">
        <is>
          <t>申请日期</t>
        </is>
      </c>
      <c r="D5" s="16" t="inlineStr"/>
      <c r="E5" s="12" t="inlineStr">
        <is>
          <t>紧急程度</t>
        </is>
      </c>
      <c r="F5" s="16" t="inlineStr">
        <is>
          <t>□普通 □紧急 □特急</t>
        </is>
      </c>
    </row>
    <row r="6">
      <c r="A6" s="12" t="inlineStr">
        <is>
          <t>项目编号</t>
        </is>
      </c>
      <c r="B6" s="16" t="inlineStr"/>
      <c r="C6" s="12" t="inlineStr">
        <is>
          <t>项目名称</t>
        </is>
      </c>
      <c r="D6" s="16" t="inlineStr"/>
      <c r="E6" s="12" t="inlineStr"/>
      <c r="F6" s="16" t="inlineStr"/>
    </row>
    <row r="7">
      <c r="A7" s="12" t="inlineStr">
        <is>
          <t>申请人</t>
        </is>
      </c>
      <c r="B7" s="16" t="inlineStr"/>
      <c r="C7" s="12" t="inlineStr">
        <is>
          <t>联系电话</t>
        </is>
      </c>
      <c r="D7" s="16" t="inlineStr"/>
      <c r="E7" s="12" t="inlineStr">
        <is>
          <t>所属部门</t>
        </is>
      </c>
      <c r="F7" s="16" t="inlineStr"/>
    </row>
    <row r="9">
      <c r="A9" s="15" t="inlineStr">
        <is>
          <t>二、需求内容</t>
        </is>
      </c>
    </row>
    <row r="10">
      <c r="A10" s="17" t="inlineStr">
        <is>
          <t>需求类型</t>
        </is>
      </c>
      <c r="B10" s="18" t="inlineStr">
        <is>
          <t>□人员支持  □物料采购  □外协加工  □设备借用  □技术支持  □其他______</t>
        </is>
      </c>
    </row>
    <row r="11">
      <c r="A11" s="17" t="inlineStr">
        <is>
          <t>需求描述</t>
        </is>
      </c>
      <c r="B11" s="16" t="inlineStr"/>
      <c r="C11" s="18" t="n"/>
      <c r="D11" s="18" t="n"/>
      <c r="E11" s="18" t="n"/>
      <c r="F11" s="18" t="n"/>
    </row>
    <row r="12">
      <c r="B12" s="18" t="n"/>
      <c r="C12" s="18" t="n"/>
      <c r="D12" s="18" t="n"/>
      <c r="E12" s="18" t="n"/>
      <c r="F12" s="18" t="n"/>
    </row>
    <row r="13">
      <c r="B13" s="18" t="n"/>
      <c r="C13" s="18" t="n"/>
      <c r="D13" s="18" t="n"/>
      <c r="E13" s="18" t="n"/>
      <c r="F13" s="18" t="n"/>
    </row>
    <row r="14">
      <c r="A14" s="17" t="inlineStr">
        <is>
          <t>期望完成时间</t>
        </is>
      </c>
      <c r="B14" s="16" t="inlineStr"/>
      <c r="C14" s="17" t="inlineStr">
        <is>
          <t>数量/规格</t>
        </is>
      </c>
      <c r="D14" s="16" t="inlineStr"/>
    </row>
    <row r="16">
      <c r="A16" s="9" t="inlineStr">
        <is>
          <t>三、响应信息（资源平台填写）</t>
        </is>
      </c>
    </row>
    <row r="17">
      <c r="A17" s="17" t="inlineStr">
        <is>
          <t>接收人</t>
        </is>
      </c>
      <c r="B17" s="18" t="inlineStr"/>
      <c r="C17" s="17" t="inlineStr">
        <is>
          <t>接收时间</t>
        </is>
      </c>
      <c r="D17" s="18" t="inlineStr"/>
      <c r="E17" s="17" t="inlineStr">
        <is>
          <t>响应时效</t>
        </is>
      </c>
      <c r="F17" s="18" t="inlineStr">
        <is>
          <t>□达标(≤2h) □超时</t>
        </is>
      </c>
    </row>
    <row r="18">
      <c r="A18" s="17" t="inlineStr">
        <is>
          <t>响应方案</t>
        </is>
      </c>
      <c r="B18" s="18" t="inlineStr"/>
      <c r="C18" s="18" t="n"/>
      <c r="D18" s="18" t="n"/>
      <c r="E18" s="18" t="n"/>
      <c r="F18" s="18" t="n"/>
    </row>
    <row r="19">
      <c r="B19" s="18" t="n"/>
      <c r="C19" s="18" t="n"/>
      <c r="D19" s="18" t="n"/>
      <c r="E19" s="18" t="n"/>
      <c r="F19" s="18" t="n"/>
    </row>
    <row r="20">
      <c r="B20" s="18" t="n"/>
      <c r="C20" s="18" t="n"/>
      <c r="D20" s="18" t="n"/>
      <c r="E20" s="18" t="n"/>
      <c r="F20" s="18" t="n"/>
    </row>
    <row r="21">
      <c r="A21" s="17" t="inlineStr">
        <is>
          <t>预计完成时间</t>
        </is>
      </c>
      <c r="B21" s="18" t="inlineStr"/>
      <c r="C21" s="17" t="inlineStr">
        <is>
          <t>实际完成时间</t>
        </is>
      </c>
      <c r="D21" s="18" t="inlineStr"/>
      <c r="E21" s="17" t="inlineStr">
        <is>
          <t>完成状态</t>
        </is>
      </c>
      <c r="F21" s="18" t="inlineStr">
        <is>
          <t>□已完成 □部分完成 □无法满足</t>
        </is>
      </c>
    </row>
    <row r="23">
      <c r="A23" s="15" t="inlineStr">
        <is>
          <t>四、确认</t>
        </is>
      </c>
    </row>
    <row r="24">
      <c r="A24" s="17" t="inlineStr">
        <is>
          <t>申请人确认</t>
        </is>
      </c>
      <c r="B24" s="18" t="inlineStr">
        <is>
          <t>签名：          日期：</t>
        </is>
      </c>
      <c r="D24" s="17" t="inlineStr">
        <is>
          <t>满意度</t>
        </is>
      </c>
      <c r="E24" s="18" t="inlineStr">
        <is>
          <t>□满意 □一般 □不满意</t>
        </is>
      </c>
    </row>
  </sheetData>
  <mergeCells count="11">
    <mergeCell ref="A16:F16"/>
    <mergeCell ref="B24:C24"/>
    <mergeCell ref="D14:F14"/>
    <mergeCell ref="E24:F24"/>
    <mergeCell ref="B10:F10"/>
    <mergeCell ref="A1:F1"/>
    <mergeCell ref="A23:F23"/>
    <mergeCell ref="A9:F9"/>
    <mergeCell ref="B11:F13"/>
    <mergeCell ref="B18:F20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资源需求单处理流程</t>
        </is>
      </c>
    </row>
    <row r="3">
      <c r="A3" s="3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资源需求单处理流程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│
│   ┌─────────┐     ┌─────────┐     ┌─────────┐     ┌─────────┐     ┌─────────┐     │
│   │ 项目组  │ ──▶ │ 资源群  │ ──▶ │资源平台 │ ──▶ │ 项目组  │ ──▶ │  结束   │     │
│   │ 提交需求│     │ 接收单  │     │ 响应    │     │ 确认    │     │         │     │
│   └─────────┘     └─────────┘     └─────────┘     └─────────┘     └─────────┘     │
│        │               │               │               │                           │
│        │               │               │               │                           │
│        ▼               ▼               ▼               ▼                           │
│   ┌─────────┐     ┌─────────┐     ┌─────────┐     ┌─────────┐                     │
│   │ 系统自动│     │ 2小时内 │     │ 给出方案│     │ 满意度  │                     │
│   │ 推送通知│     │ 必须响应│     │ 或说明  │     │ 评价    │                     │
│   └─────────┘     └─────────┘     └─────────┘     └─────────┘                     │
│                         │                                                          │
│                         │ 超时                                                     │
│                         ▼                                                          │
│                   ┌─────────┐                                                      │
│                   │ 自动升级│                                                      │
│                   │ 到主管  │                                                      │
│                   └─────────┘                                                      │
│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4"/>
    <row r="5"/>
    <row r="6"/>
    <row r="7"/>
    <row r="8"/>
    <row r="9"/>
    <row r="10"/>
    <row r="11"/>
    <row r="12"/>
    <row r="13"/>
    <row r="14"/>
    <row r="15"/>
    <row r="17">
      <c r="A17" s="19" t="inlineStr">
        <is>
          <t>一、时效要求</t>
        </is>
      </c>
    </row>
    <row r="18">
      <c r="A18" s="4" t="inlineStr">
        <is>
          <t>紧急程度</t>
        </is>
      </c>
      <c r="B18" s="4" t="inlineStr">
        <is>
          <t>响应时效</t>
        </is>
      </c>
      <c r="C18" s="4" t="inlineStr">
        <is>
          <t>完成时效</t>
        </is>
      </c>
      <c r="D18" s="4" t="inlineStr">
        <is>
          <t>升级规则</t>
        </is>
      </c>
    </row>
    <row r="19">
      <c r="A19" s="6" t="inlineStr">
        <is>
          <t>普通</t>
        </is>
      </c>
      <c r="B19" s="6" t="inlineStr">
        <is>
          <t>2小时内</t>
        </is>
      </c>
      <c r="C19" s="6" t="inlineStr">
        <is>
          <t>按约定</t>
        </is>
      </c>
      <c r="D19" s="6" t="inlineStr">
        <is>
          <t>超4小时升级主管</t>
        </is>
      </c>
    </row>
    <row r="20">
      <c r="A20" s="20" t="inlineStr">
        <is>
          <t>紧急</t>
        </is>
      </c>
      <c r="B20" s="6" t="inlineStr">
        <is>
          <t>1小时内</t>
        </is>
      </c>
      <c r="C20" s="6" t="inlineStr">
        <is>
          <t>24小时内</t>
        </is>
      </c>
      <c r="D20" s="6" t="inlineStr">
        <is>
          <t>超2小时升级主管</t>
        </is>
      </c>
    </row>
    <row r="21">
      <c r="A21" s="21" t="inlineStr">
        <is>
          <t>特急</t>
        </is>
      </c>
      <c r="B21" s="6" t="inlineStr">
        <is>
          <t>30分钟内</t>
        </is>
      </c>
      <c r="C21" s="6" t="inlineStr">
        <is>
          <t>4小时内</t>
        </is>
      </c>
      <c r="D21" s="6" t="inlineStr">
        <is>
          <t>超1小时升级总监</t>
        </is>
      </c>
    </row>
    <row r="24">
      <c r="A24" s="19" t="inlineStr">
        <is>
          <t>二、资源平台对接人</t>
        </is>
      </c>
    </row>
    <row r="25">
      <c r="A25" s="4" t="inlineStr">
        <is>
          <t>资源类型</t>
        </is>
      </c>
      <c r="B25" s="4" t="inlineStr">
        <is>
          <t>对接人</t>
        </is>
      </c>
      <c r="C25" s="4" t="inlineStr">
        <is>
          <t>联系方式</t>
        </is>
      </c>
      <c r="D25" s="4" t="inlineStr">
        <is>
          <t>备用对接人</t>
        </is>
      </c>
    </row>
    <row r="26">
      <c r="A26" s="6" t="inlineStr">
        <is>
          <t>人员支持</t>
        </is>
      </c>
      <c r="B26" s="6" t="inlineStr">
        <is>
          <t>HR专员</t>
        </is>
      </c>
      <c r="C26" s="6" t="inlineStr"/>
      <c r="D26" s="6" t="inlineStr">
        <is>
          <t>部门主管</t>
        </is>
      </c>
    </row>
    <row r="27">
      <c r="A27" s="6" t="inlineStr">
        <is>
          <t>物料采购</t>
        </is>
      </c>
      <c r="B27" s="6" t="inlineStr">
        <is>
          <t>采购员</t>
        </is>
      </c>
      <c r="C27" s="6" t="inlineStr"/>
      <c r="D27" s="6" t="inlineStr">
        <is>
          <t>采购主管</t>
        </is>
      </c>
    </row>
    <row r="28">
      <c r="A28" s="6" t="inlineStr">
        <is>
          <t>外协加工</t>
        </is>
      </c>
      <c r="B28" s="6" t="inlineStr">
        <is>
          <t>外协专员</t>
        </is>
      </c>
      <c r="C28" s="6" t="inlineStr"/>
      <c r="D28" s="6" t="inlineStr">
        <is>
          <t>采购主管</t>
        </is>
      </c>
    </row>
    <row r="29">
      <c r="A29" s="6" t="inlineStr">
        <is>
          <t>设备借用</t>
        </is>
      </c>
      <c r="B29" s="6" t="inlineStr">
        <is>
          <t>设备管理员</t>
        </is>
      </c>
      <c r="C29" s="6" t="inlineStr"/>
      <c r="D29" s="6" t="inlineStr">
        <is>
          <t>生产主管</t>
        </is>
      </c>
    </row>
    <row r="30">
      <c r="A30" s="6" t="inlineStr">
        <is>
          <t>技术支持</t>
        </is>
      </c>
      <c r="B30" s="6" t="inlineStr">
        <is>
          <t>技术主管</t>
        </is>
      </c>
      <c r="C30" s="6" t="inlineStr"/>
      <c r="D30" s="6" t="inlineStr">
        <is>
          <t>技术总监</t>
        </is>
      </c>
    </row>
  </sheetData>
  <mergeCells count="2">
    <mergeCell ref="A3:F15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8" t="inlineStr">
        <is>
          <t>员工双线考核评估表</t>
        </is>
      </c>
    </row>
    <row r="3">
      <c r="A3" s="22" t="inlineStr">
        <is>
          <t>一、基本信息</t>
        </is>
      </c>
    </row>
    <row r="4">
      <c r="A4" s="23" t="inlineStr">
        <is>
          <t>员工姓名</t>
        </is>
      </c>
      <c r="B4" s="16" t="inlineStr"/>
      <c r="C4" s="23" t="inlineStr">
        <is>
          <t>工号</t>
        </is>
      </c>
      <c r="D4" s="16" t="inlineStr"/>
      <c r="E4" s="23" t="inlineStr">
        <is>
          <t>部门</t>
        </is>
      </c>
      <c r="F4" s="16" t="inlineStr"/>
    </row>
    <row r="5">
      <c r="A5" s="23" t="inlineStr">
        <is>
          <t>考核周期</t>
        </is>
      </c>
      <c r="B5" s="16" t="inlineStr"/>
      <c r="C5" s="23" t="inlineStr">
        <is>
          <t>考核类型</t>
        </is>
      </c>
      <c r="D5" s="16" t="inlineStr">
        <is>
          <t>□月度 □季度 □年度</t>
        </is>
      </c>
      <c r="E5" s="23" t="inlineStr"/>
      <c r="F5" s="16" t="inlineStr"/>
    </row>
    <row r="8">
      <c r="A8" s="9" t="inlineStr">
        <is>
          <t>二、项目线考核（权重70%）</t>
        </is>
      </c>
    </row>
    <row r="9">
      <c r="A9" s="4" t="inlineStr">
        <is>
          <t>项目编号</t>
        </is>
      </c>
      <c r="B9" s="4" t="inlineStr">
        <is>
          <t>项目名称</t>
        </is>
      </c>
      <c r="C9" s="4" t="inlineStr">
        <is>
          <t>角色</t>
        </is>
      </c>
      <c r="D9" s="4" t="inlineStr">
        <is>
          <t>投入比例</t>
        </is>
      </c>
      <c r="E9" s="4" t="inlineStr">
        <is>
          <t>项目得分</t>
        </is>
      </c>
      <c r="F9" s="4" t="inlineStr">
        <is>
          <t>加权得分</t>
        </is>
      </c>
      <c r="G9" s="4" t="inlineStr">
        <is>
          <t>考核人</t>
        </is>
      </c>
      <c r="H9" s="4" t="inlineStr">
        <is>
          <t>备注</t>
        </is>
      </c>
    </row>
    <row r="10">
      <c r="A10" s="6" t="n"/>
      <c r="B10" s="6" t="n"/>
      <c r="C10" s="6" t="n"/>
      <c r="D10" s="6" t="n"/>
      <c r="E10" s="6" t="n"/>
      <c r="F10" s="6">
        <f>D10*E10/100</f>
        <v/>
      </c>
      <c r="G10" s="6" t="n"/>
      <c r="H10" s="6" t="n"/>
    </row>
    <row r="11">
      <c r="A11" s="6" t="n"/>
      <c r="B11" s="6" t="n"/>
      <c r="C11" s="6" t="n"/>
      <c r="D11" s="6" t="n"/>
      <c r="E11" s="6" t="n"/>
      <c r="F11" s="6">
        <f>D11*E11/100</f>
        <v/>
      </c>
      <c r="G11" s="6" t="n"/>
      <c r="H11" s="6" t="n"/>
    </row>
    <row r="12">
      <c r="A12" s="6" t="n"/>
      <c r="B12" s="6" t="n"/>
      <c r="C12" s="6" t="n"/>
      <c r="D12" s="6" t="n"/>
      <c r="E12" s="6" t="n"/>
      <c r="F12" s="6">
        <f>D12*E12/100</f>
        <v/>
      </c>
      <c r="G12" s="6" t="n"/>
      <c r="H12" s="6" t="n"/>
    </row>
    <row r="13">
      <c r="A13" s="6" t="n"/>
      <c r="B13" s="6" t="n"/>
      <c r="C13" s="6" t="n"/>
      <c r="D13" s="6" t="n"/>
      <c r="E13" s="6" t="n"/>
      <c r="F13" s="6">
        <f>D13*E13/100</f>
        <v/>
      </c>
      <c r="G13" s="6" t="n"/>
      <c r="H13" s="6" t="n"/>
    </row>
    <row r="14">
      <c r="A14" s="24" t="inlineStr">
        <is>
          <t>项目线得分合计</t>
        </is>
      </c>
      <c r="F14" s="25">
        <f>SUM(F10:F13)</f>
        <v/>
      </c>
    </row>
    <row r="17">
      <c r="A17" s="9" t="inlineStr">
        <is>
          <t>三、职能线考核（权重30%）</t>
        </is>
      </c>
    </row>
    <row r="18">
      <c r="A18" s="4" t="inlineStr">
        <is>
          <t>考核项</t>
        </is>
      </c>
      <c r="B18" s="4" t="inlineStr">
        <is>
          <t>考核标准</t>
        </is>
      </c>
      <c r="C18" s="4" t="inlineStr">
        <is>
          <t>权重</t>
        </is>
      </c>
      <c r="D18" s="4" t="inlineStr">
        <is>
          <t>自评分</t>
        </is>
      </c>
      <c r="E18" s="4" t="inlineStr">
        <is>
          <t>考核分</t>
        </is>
      </c>
      <c r="F18" s="4" t="inlineStr">
        <is>
          <t>得分</t>
        </is>
      </c>
      <c r="G18" s="4" t="inlineStr">
        <is>
          <t>考核人</t>
        </is>
      </c>
      <c r="H18" s="4" t="inlineStr">
        <is>
          <t>备注</t>
        </is>
      </c>
    </row>
    <row r="19">
      <c r="A19" s="6" t="inlineStr">
        <is>
          <t>专业能力提升</t>
        </is>
      </c>
      <c r="B19" s="6" t="inlineStr">
        <is>
          <t>技能提升、新技术学习、证书获取</t>
        </is>
      </c>
      <c r="C19" s="6" t="inlineStr">
        <is>
          <t>40%</t>
        </is>
      </c>
      <c r="D19" s="6" t="inlineStr"/>
      <c r="E19" s="6" t="inlineStr"/>
      <c r="F19" s="6">
        <f>C19*E19</f>
        <v/>
      </c>
      <c r="G19" s="6" t="inlineStr"/>
      <c r="H19" s="6" t="inlineStr"/>
    </row>
    <row r="20">
      <c r="A20" s="6" t="inlineStr">
        <is>
          <t>知识沉淀贡献</t>
        </is>
      </c>
      <c r="B20" s="6" t="inlineStr">
        <is>
          <t>技术文档、标准化模块、经验分享</t>
        </is>
      </c>
      <c r="C20" s="6" t="inlineStr">
        <is>
          <t>30%</t>
        </is>
      </c>
      <c r="D20" s="6" t="inlineStr"/>
      <c r="E20" s="6" t="inlineStr"/>
      <c r="F20" s="6">
        <f>C20*E20</f>
        <v/>
      </c>
      <c r="G20" s="6" t="inlineStr"/>
      <c r="H20" s="6" t="inlineStr"/>
    </row>
    <row r="21">
      <c r="A21" s="6" t="inlineStr">
        <is>
          <t>带教新人</t>
        </is>
      </c>
      <c r="B21" s="6" t="inlineStr">
        <is>
          <t>新员工指导、培训分享</t>
        </is>
      </c>
      <c r="C21" s="6" t="inlineStr">
        <is>
          <t>20%</t>
        </is>
      </c>
      <c r="D21" s="6" t="inlineStr"/>
      <c r="E21" s="6" t="inlineStr"/>
      <c r="F21" s="6">
        <f>C21*E21</f>
        <v/>
      </c>
      <c r="G21" s="6" t="inlineStr"/>
      <c r="H21" s="6" t="inlineStr"/>
    </row>
    <row r="22">
      <c r="A22" s="6" t="inlineStr">
        <is>
          <t>制度遵守</t>
        </is>
      </c>
      <c r="B22" s="6" t="inlineStr">
        <is>
          <t>考勤、流程规范、安全等</t>
        </is>
      </c>
      <c r="C22" s="6" t="inlineStr">
        <is>
          <t>10%</t>
        </is>
      </c>
      <c r="D22" s="6" t="inlineStr"/>
      <c r="E22" s="6" t="inlineStr"/>
      <c r="F22" s="6">
        <f>C22*E22</f>
        <v/>
      </c>
      <c r="G22" s="6" t="inlineStr"/>
      <c r="H22" s="6" t="inlineStr"/>
    </row>
    <row r="23">
      <c r="A23" s="24" t="inlineStr">
        <is>
          <t>职能线得分合计</t>
        </is>
      </c>
      <c r="F23" s="25">
        <f>SUM(F19:F22)</f>
        <v/>
      </c>
    </row>
    <row r="26">
      <c r="A26" s="9" t="inlineStr">
        <is>
          <t>四、综合得分</t>
        </is>
      </c>
    </row>
    <row r="27">
      <c r="A27" s="12" t="inlineStr">
        <is>
          <t>项目</t>
        </is>
      </c>
      <c r="B27" s="12" t="inlineStr">
        <is>
          <t>得分</t>
        </is>
      </c>
      <c r="C27" s="12" t="inlineStr">
        <is>
          <t>权重</t>
        </is>
      </c>
      <c r="D27" s="12" t="inlineStr">
        <is>
          <t>加权得分</t>
        </is>
      </c>
    </row>
    <row r="28">
      <c r="A28" s="6" t="inlineStr">
        <is>
          <t>项目线考核</t>
        </is>
      </c>
      <c r="B28" s="6">
        <f>F14</f>
        <v/>
      </c>
      <c r="C28" s="6" t="inlineStr">
        <is>
          <t>70%</t>
        </is>
      </c>
      <c r="D28" s="6">
        <f>B28*0.7</f>
        <v/>
      </c>
    </row>
    <row r="29">
      <c r="A29" s="6" t="inlineStr">
        <is>
          <t>职能线考核</t>
        </is>
      </c>
      <c r="B29" s="6">
        <f>F23</f>
        <v/>
      </c>
      <c r="C29" s="6" t="inlineStr">
        <is>
          <t>30%</t>
        </is>
      </c>
      <c r="D29" s="6">
        <f>B29*0.3</f>
        <v/>
      </c>
    </row>
    <row r="30">
      <c r="A30" s="26" t="inlineStr">
        <is>
          <t>综合得分</t>
        </is>
      </c>
      <c r="B30" s="26" t="inlineStr"/>
      <c r="C30" s="26" t="inlineStr"/>
      <c r="D30" s="26">
        <f>D28+D29</f>
        <v/>
      </c>
    </row>
    <row r="32">
      <c r="A32" s="22" t="inlineStr">
        <is>
          <t>五、等级评定</t>
        </is>
      </c>
    </row>
    <row r="33">
      <c r="A33" s="12" t="inlineStr">
        <is>
          <t>等级</t>
        </is>
      </c>
      <c r="B33" s="6" t="inlineStr">
        <is>
          <t>S(卓越)</t>
        </is>
      </c>
      <c r="C33" s="6" t="inlineStr">
        <is>
          <t>A(优秀)</t>
        </is>
      </c>
      <c r="D33" s="6" t="inlineStr">
        <is>
          <t>B(良好)</t>
        </is>
      </c>
      <c r="E33" s="6" t="inlineStr">
        <is>
          <t>C(合格)</t>
        </is>
      </c>
      <c r="F33" s="6" t="inlineStr">
        <is>
          <t>D(待改进)</t>
        </is>
      </c>
    </row>
    <row r="34">
      <c r="A34" s="12" t="inlineStr">
        <is>
          <t>分数范围</t>
        </is>
      </c>
      <c r="B34" s="6" t="inlineStr">
        <is>
          <t>≥95</t>
        </is>
      </c>
      <c r="C34" s="6" t="inlineStr">
        <is>
          <t>85-94</t>
        </is>
      </c>
      <c r="D34" s="6" t="inlineStr">
        <is>
          <t>75-84</t>
        </is>
      </c>
      <c r="E34" s="6" t="inlineStr">
        <is>
          <t>60-74</t>
        </is>
      </c>
      <c r="F34" s="6" t="inlineStr">
        <is>
          <t>&lt;60</t>
        </is>
      </c>
    </row>
    <row r="35">
      <c r="A35" s="12" t="inlineStr">
        <is>
          <t>本次评定</t>
        </is>
      </c>
      <c r="B35" s="6" t="inlineStr"/>
      <c r="C35" s="6" t="inlineStr"/>
      <c r="D35" s="6" t="inlineStr"/>
      <c r="E35" s="6" t="inlineStr"/>
      <c r="F35" s="6" t="inlineStr"/>
    </row>
  </sheetData>
  <mergeCells count="6">
    <mergeCell ref="A1:H1"/>
    <mergeCell ref="A26:H26"/>
    <mergeCell ref="A23:E23"/>
    <mergeCell ref="A14:E14"/>
    <mergeCell ref="A8:H8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8" t="inlineStr">
        <is>
          <t>项目奖金分配表</t>
        </is>
      </c>
    </row>
    <row r="3">
      <c r="A3" s="22" t="inlineStr">
        <is>
          <t>一、项目信息</t>
        </is>
      </c>
    </row>
    <row r="4">
      <c r="A4" s="12" t="inlineStr">
        <is>
          <t>项目编号</t>
        </is>
      </c>
      <c r="B4" s="6" t="inlineStr"/>
      <c r="C4" s="12" t="inlineStr">
        <is>
          <t>项目名称</t>
        </is>
      </c>
      <c r="D4" s="6" t="inlineStr"/>
    </row>
    <row r="5">
      <c r="A5" s="12" t="inlineStr">
        <is>
          <t>合同金额</t>
        </is>
      </c>
      <c r="B5" s="6" t="inlineStr"/>
      <c r="C5" s="12" t="inlineStr">
        <is>
          <t>项目成本</t>
        </is>
      </c>
      <c r="D5" s="6" t="inlineStr"/>
    </row>
    <row r="6">
      <c r="A6" s="12" t="inlineStr">
        <is>
          <t>项目毛利</t>
        </is>
      </c>
      <c r="B6" s="6">
        <f>B5-D5</f>
        <v/>
      </c>
      <c r="C6" s="12" t="inlineStr">
        <is>
          <t>毛利率</t>
        </is>
      </c>
      <c r="D6" s="6">
        <f>B6/B5</f>
        <v/>
      </c>
    </row>
    <row r="7">
      <c r="A7" s="12" t="inlineStr">
        <is>
          <t>奖金提取比例</t>
        </is>
      </c>
      <c r="B7" s="6" t="inlineStr">
        <is>
          <t>10%</t>
        </is>
      </c>
      <c r="C7" s="12" t="inlineStr">
        <is>
          <t>奖金池总额</t>
        </is>
      </c>
      <c r="D7" s="26">
        <f>B6*B7</f>
        <v/>
      </c>
    </row>
    <row r="10">
      <c r="A10" s="9" t="inlineStr">
        <is>
          <t>二、铁三角奖金分配（60%）</t>
        </is>
      </c>
    </row>
    <row r="11">
      <c r="A11" s="4" t="inlineStr">
        <is>
          <t>角色</t>
        </is>
      </c>
      <c r="B11" s="4" t="inlineStr">
        <is>
          <t>姓名</t>
        </is>
      </c>
      <c r="C11" s="4" t="inlineStr">
        <is>
          <t>分配比例</t>
        </is>
      </c>
      <c r="D11" s="4" t="inlineStr">
        <is>
          <t>奖金金额</t>
        </is>
      </c>
      <c r="E11" s="4" t="inlineStr">
        <is>
          <t>绩效系数</t>
        </is>
      </c>
      <c r="F11" s="4" t="inlineStr">
        <is>
          <t>实发金额</t>
        </is>
      </c>
      <c r="G11" s="4" t="inlineStr">
        <is>
          <t>备注</t>
        </is>
      </c>
    </row>
    <row r="12">
      <c r="A12" s="6" t="inlineStr">
        <is>
          <t>项目经理(PM)</t>
        </is>
      </c>
      <c r="B12" s="6" t="inlineStr"/>
      <c r="C12" s="6" t="inlineStr">
        <is>
          <t>30%</t>
        </is>
      </c>
      <c r="D12" s="6">
        <f>D8*0.6*C12</f>
        <v/>
      </c>
      <c r="E12" s="6" t="inlineStr"/>
      <c r="F12" s="6">
        <f>D12*E12</f>
        <v/>
      </c>
      <c r="G12" s="6" t="inlineStr"/>
    </row>
    <row r="13">
      <c r="A13" s="6" t="inlineStr">
        <is>
          <t>技术负责人(TE)</t>
        </is>
      </c>
      <c r="B13" s="6" t="inlineStr"/>
      <c r="C13" s="6" t="inlineStr">
        <is>
          <t>25%</t>
        </is>
      </c>
      <c r="D13" s="6">
        <f>D8*0.6*C13</f>
        <v/>
      </c>
      <c r="E13" s="6" t="inlineStr"/>
      <c r="F13" s="6">
        <f>D13*E13</f>
        <v/>
      </c>
      <c r="G13" s="6" t="inlineStr"/>
    </row>
    <row r="14">
      <c r="A14" s="6" t="inlineStr">
        <is>
          <t>供应链负责人(SC)</t>
        </is>
      </c>
      <c r="B14" s="6" t="inlineStr"/>
      <c r="C14" s="6" t="inlineStr">
        <is>
          <t>20%</t>
        </is>
      </c>
      <c r="D14" s="6">
        <f>D8*0.6*C14</f>
        <v/>
      </c>
      <c r="E14" s="6" t="inlineStr"/>
      <c r="F14" s="6">
        <f>D14*E14</f>
        <v/>
      </c>
      <c r="G14" s="6" t="inlineStr"/>
    </row>
    <row r="15">
      <c r="A15" s="6" t="inlineStr">
        <is>
          <t>调试负责人(CE)</t>
        </is>
      </c>
      <c r="B15" s="6" t="inlineStr"/>
      <c r="C15" s="6" t="inlineStr">
        <is>
          <t>25%</t>
        </is>
      </c>
      <c r="D15" s="6">
        <f>D8*0.6*C15</f>
        <v/>
      </c>
      <c r="E15" s="6" t="inlineStr"/>
      <c r="F15" s="6">
        <f>D15*E15</f>
        <v/>
      </c>
      <c r="G15" s="6" t="inlineStr"/>
    </row>
    <row r="16">
      <c r="A16" s="12" t="inlineStr">
        <is>
          <t>小计</t>
        </is>
      </c>
      <c r="B16" s="12" t="inlineStr"/>
      <c r="C16" s="12" t="inlineStr">
        <is>
          <t>100%</t>
        </is>
      </c>
      <c r="D16" s="12">
        <f>SUM(D12:D15)</f>
        <v/>
      </c>
      <c r="E16" s="12" t="inlineStr"/>
      <c r="F16" s="12">
        <f>SUM(F12:F15)</f>
        <v/>
      </c>
      <c r="G16" s="12" t="inlineStr"/>
    </row>
    <row r="19">
      <c r="A19" s="9" t="inlineStr">
        <is>
          <t>三、项目成员奖金分配（40%）</t>
        </is>
      </c>
    </row>
    <row r="20">
      <c r="A20" s="4" t="inlineStr">
        <is>
          <t>序号</t>
        </is>
      </c>
      <c r="B20" s="4" t="inlineStr">
        <is>
          <t>姓名</t>
        </is>
      </c>
      <c r="C20" s="4" t="inlineStr">
        <is>
          <t>部门</t>
        </is>
      </c>
      <c r="D20" s="4" t="inlineStr">
        <is>
          <t>投入工时</t>
        </is>
      </c>
      <c r="E20" s="4" t="inlineStr">
        <is>
          <t>工时占比</t>
        </is>
      </c>
      <c r="F20" s="4" t="inlineStr">
        <is>
          <t>奖金金额</t>
        </is>
      </c>
      <c r="G20" s="4" t="inlineStr">
        <is>
          <t>备注</t>
        </is>
      </c>
    </row>
    <row r="21">
      <c r="A21" s="6" t="n">
        <v>1</v>
      </c>
      <c r="B21" s="6" t="n"/>
      <c r="C21" s="6" t="n"/>
      <c r="D21" s="6" t="n"/>
      <c r="E21" s="6" t="n"/>
      <c r="F21" s="6" t="n"/>
      <c r="G21" s="6" t="n"/>
    </row>
    <row r="22">
      <c r="A22" s="6" t="n">
        <v>2</v>
      </c>
      <c r="B22" s="6" t="n"/>
      <c r="C22" s="6" t="n"/>
      <c r="D22" s="6" t="n"/>
      <c r="E22" s="6" t="n"/>
      <c r="F22" s="6" t="n"/>
      <c r="G22" s="6" t="n"/>
    </row>
    <row r="23">
      <c r="A23" s="6" t="n">
        <v>3</v>
      </c>
      <c r="B23" s="6" t="n"/>
      <c r="C23" s="6" t="n"/>
      <c r="D23" s="6" t="n"/>
      <c r="E23" s="6" t="n"/>
      <c r="F23" s="6" t="n"/>
      <c r="G23" s="6" t="n"/>
    </row>
    <row r="24">
      <c r="A24" s="6" t="n">
        <v>4</v>
      </c>
      <c r="B24" s="6" t="n"/>
      <c r="C24" s="6" t="n"/>
      <c r="D24" s="6" t="n"/>
      <c r="E24" s="6" t="n"/>
      <c r="F24" s="6" t="n"/>
      <c r="G24" s="6" t="n"/>
    </row>
    <row r="25">
      <c r="A25" s="6" t="n">
        <v>5</v>
      </c>
      <c r="B25" s="6" t="n"/>
      <c r="C25" s="6" t="n"/>
      <c r="D25" s="6" t="n"/>
      <c r="E25" s="6" t="n"/>
      <c r="F25" s="6" t="n"/>
      <c r="G25" s="6" t="n"/>
    </row>
    <row r="26">
      <c r="A26" s="6" t="n">
        <v>6</v>
      </c>
      <c r="B26" s="6" t="n"/>
      <c r="C26" s="6" t="n"/>
      <c r="D26" s="6" t="n"/>
      <c r="E26" s="6" t="n"/>
      <c r="F26" s="6" t="n"/>
      <c r="G26" s="6" t="n"/>
    </row>
    <row r="27">
      <c r="A27" s="6" t="n">
        <v>7</v>
      </c>
      <c r="B27" s="6" t="n"/>
      <c r="C27" s="6" t="n"/>
      <c r="D27" s="6" t="n"/>
      <c r="E27" s="6" t="n"/>
      <c r="F27" s="6" t="n"/>
      <c r="G27" s="6" t="n"/>
    </row>
    <row r="28">
      <c r="A28" s="27" t="inlineStr">
        <is>
          <t>合计</t>
        </is>
      </c>
      <c r="B28" s="27" t="n"/>
      <c r="C28" s="27" t="n"/>
      <c r="D28" s="27">
        <f>SUM(D21:D27)</f>
        <v/>
      </c>
      <c r="E28" s="27" t="inlineStr">
        <is>
          <t>100%</t>
        </is>
      </c>
      <c r="F28" s="25">
        <f>D8*0.4</f>
        <v/>
      </c>
      <c r="G28" s="27" t="n"/>
    </row>
  </sheetData>
  <mergeCells count="4">
    <mergeCell ref="A28:C28"/>
    <mergeCell ref="A19:G19"/>
    <mergeCell ref="A1:G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5" customWidth="1" min="4" max="4"/>
    <col width="18" customWidth="1" min="5" max="5"/>
    <col width="12" customWidth="1" min="6" max="6"/>
    <col width="12" customWidth="1" min="7" max="7"/>
  </cols>
  <sheetData>
    <row r="1">
      <c r="A1" s="8" t="inlineStr">
        <is>
          <t>矩阵组织实施路线图</t>
        </is>
      </c>
    </row>
    <row r="3">
      <c r="A3" s="4" t="inlineStr">
        <is>
          <t>阶段</t>
        </is>
      </c>
      <c r="B3" s="4" t="inlineStr">
        <is>
          <t>时间</t>
        </is>
      </c>
      <c r="C3" s="5" t="inlineStr">
        <is>
          <t>目标</t>
        </is>
      </c>
      <c r="D3" s="5" t="inlineStr">
        <is>
          <t>关键任务</t>
        </is>
      </c>
      <c r="E3" s="5" t="inlineStr">
        <is>
          <t>里程碑</t>
        </is>
      </c>
      <c r="F3" s="5" t="inlineStr">
        <is>
          <t>风险</t>
        </is>
      </c>
      <c r="G3" s="5" t="inlineStr">
        <is>
          <t>负责人</t>
        </is>
      </c>
    </row>
    <row r="4">
      <c r="A4" s="12" t="inlineStr">
        <is>
          <t>准备期</t>
        </is>
      </c>
      <c r="B4" s="6" t="inlineStr">
        <is>
          <t>第1-2周</t>
        </is>
      </c>
      <c r="C4" s="7" t="inlineStr">
        <is>
          <t>统一认识</t>
        </is>
      </c>
      <c r="D4" s="7" t="inlineStr">
        <is>
          <t>管理层培训、方案宣贯</t>
        </is>
      </c>
      <c r="E4" s="7" t="inlineStr">
        <is>
          <t>全员启动会</t>
        </is>
      </c>
      <c r="F4" s="7" t="inlineStr">
        <is>
          <t>抵触情绪</t>
        </is>
      </c>
      <c r="G4" s="7" t="inlineStr">
        <is>
          <t>总经理</t>
        </is>
      </c>
    </row>
    <row r="5">
      <c r="A5" s="12" t="inlineStr">
        <is>
          <t>试点期</t>
        </is>
      </c>
      <c r="B5" s="6" t="inlineStr">
        <is>
          <t>第3-8周</t>
        </is>
      </c>
      <c r="C5" s="7" t="inlineStr">
        <is>
          <t>跑通流程</t>
        </is>
      </c>
      <c r="D5" s="7" t="inlineStr">
        <is>
          <t>选3个项目试点铁三角</t>
        </is>
      </c>
      <c r="E5" s="7" t="inlineStr">
        <is>
          <t>试点总结报告</t>
        </is>
      </c>
      <c r="F5" s="7" t="inlineStr">
        <is>
          <t>流程不清</t>
        </is>
      </c>
      <c r="G5" s="7" t="inlineStr">
        <is>
          <t>运营总监</t>
        </is>
      </c>
    </row>
    <row r="6">
      <c r="A6" s="6" t="inlineStr"/>
      <c r="B6" s="6" t="inlineStr"/>
      <c r="C6" s="7" t="inlineStr"/>
      <c r="D6" s="7" t="inlineStr">
        <is>
          <t>建立资源需求单流程(企微群)</t>
        </is>
      </c>
      <c r="E6" s="7" t="inlineStr">
        <is>
          <t>响应时效达标</t>
        </is>
      </c>
      <c r="F6" s="7" t="inlineStr">
        <is>
          <t>响应慢</t>
        </is>
      </c>
      <c r="G6" s="7" t="inlineStr"/>
    </row>
    <row r="7">
      <c r="A7" s="6" t="inlineStr"/>
      <c r="B7" s="6" t="inlineStr"/>
      <c r="C7" s="7" t="inlineStr"/>
      <c r="D7" s="7" t="inlineStr">
        <is>
          <t>试行双线考核(Excel)</t>
        </is>
      </c>
      <c r="E7" s="7" t="inlineStr">
        <is>
          <t>首次考核完成</t>
        </is>
      </c>
      <c r="F7" s="7" t="inlineStr">
        <is>
          <t>标准不一</t>
        </is>
      </c>
      <c r="G7" s="7" t="inlineStr"/>
    </row>
    <row r="8">
      <c r="A8" s="12" t="inlineStr">
        <is>
          <t>优化期</t>
        </is>
      </c>
      <c r="B8" s="6" t="inlineStr">
        <is>
          <t>第9-12周</t>
        </is>
      </c>
      <c r="C8" s="7" t="inlineStr">
        <is>
          <t>固化规则</t>
        </is>
      </c>
      <c r="D8" s="7" t="inlineStr">
        <is>
          <t>总结试点问题，优化流程</t>
        </is>
      </c>
      <c r="E8" s="7" t="inlineStr">
        <is>
          <t>流程优化方案</t>
        </is>
      </c>
      <c r="F8" s="7" t="inlineStr"/>
      <c r="G8" s="7" t="inlineStr">
        <is>
          <t>运营总监</t>
        </is>
      </c>
    </row>
    <row r="9">
      <c r="A9" s="6" t="inlineStr"/>
      <c r="B9" s="6" t="inlineStr"/>
      <c r="C9" s="7" t="inlineStr"/>
      <c r="D9" s="7" t="inlineStr">
        <is>
          <t>制定权责清单、考核标准</t>
        </is>
      </c>
      <c r="E9" s="7" t="inlineStr">
        <is>
          <t>制度文件发布</t>
        </is>
      </c>
      <c r="F9" s="7" t="inlineStr"/>
      <c r="G9" s="7" t="inlineStr"/>
    </row>
    <row r="10">
      <c r="A10" s="6" t="inlineStr"/>
      <c r="B10" s="6" t="inlineStr"/>
      <c r="C10" s="7" t="inlineStr"/>
      <c r="D10" s="7" t="inlineStr">
        <is>
          <t>设计系统功能需求</t>
        </is>
      </c>
      <c r="E10" s="7" t="inlineStr">
        <is>
          <t>需求规格说明</t>
        </is>
      </c>
      <c r="F10" s="7" t="inlineStr"/>
      <c r="G10" s="7" t="inlineStr"/>
    </row>
    <row r="11">
      <c r="A11" s="12" t="inlineStr">
        <is>
          <t>推广期</t>
        </is>
      </c>
      <c r="B11" s="6" t="inlineStr">
        <is>
          <t>第13-20周</t>
        </is>
      </c>
      <c r="C11" s="7" t="inlineStr">
        <is>
          <t>全面覆盖</t>
        </is>
      </c>
      <c r="D11" s="7" t="inlineStr">
        <is>
          <t>所有新项目按矩阵运作</t>
        </is>
      </c>
      <c r="E11" s="7" t="inlineStr">
        <is>
          <t>覆盖率80%</t>
        </is>
      </c>
      <c r="F11" s="7" t="inlineStr">
        <is>
          <t>人员不足</t>
        </is>
      </c>
      <c r="G11" s="7" t="inlineStr">
        <is>
          <t>项目部</t>
        </is>
      </c>
    </row>
    <row r="12">
      <c r="A12" s="6" t="inlineStr"/>
      <c r="B12" s="6" t="inlineStr"/>
      <c r="C12" s="7" t="inlineStr"/>
      <c r="D12" s="7" t="inlineStr">
        <is>
          <t>资源需求单系统上线</t>
        </is>
      </c>
      <c r="E12" s="7" t="inlineStr">
        <is>
          <t>系统上线</t>
        </is>
      </c>
      <c r="F12" s="7" t="inlineStr"/>
      <c r="G12" s="7" t="inlineStr"/>
    </row>
    <row r="13">
      <c r="A13" s="6" t="inlineStr"/>
      <c r="B13" s="6" t="inlineStr"/>
      <c r="C13" s="7" t="inlineStr"/>
      <c r="D13" s="7" t="inlineStr">
        <is>
          <t>双线考核系统上线</t>
        </is>
      </c>
      <c r="E13" s="7" t="inlineStr">
        <is>
          <t>系统上线</t>
        </is>
      </c>
      <c r="F13" s="7" t="inlineStr"/>
      <c r="G13" s="7" t="inlineStr"/>
    </row>
    <row r="14">
      <c r="A14" s="12" t="inlineStr">
        <is>
          <t>深化期</t>
        </is>
      </c>
      <c r="B14" s="6" t="inlineStr">
        <is>
          <t>第21-24周</t>
        </is>
      </c>
      <c r="C14" s="7" t="inlineStr">
        <is>
          <t>持续改进</t>
        </is>
      </c>
      <c r="D14" s="7" t="inlineStr">
        <is>
          <t>建立项目复盘机制</t>
        </is>
      </c>
      <c r="E14" s="7" t="inlineStr">
        <is>
          <t>复盘机制运行</t>
        </is>
      </c>
      <c r="F14" s="7" t="inlineStr"/>
      <c r="G14" s="7" t="inlineStr">
        <is>
          <t>项目部</t>
        </is>
      </c>
    </row>
    <row r="15">
      <c r="A15" s="6" t="inlineStr"/>
      <c r="B15" s="6" t="inlineStr"/>
      <c r="C15" s="7" t="inlineStr"/>
      <c r="D15" s="7" t="inlineStr">
        <is>
          <t>完善奖金分配机制</t>
        </is>
      </c>
      <c r="E15" s="7" t="inlineStr">
        <is>
          <t>首次奖金发放</t>
        </is>
      </c>
      <c r="F15" s="7" t="inlineStr">
        <is>
          <t>公平性</t>
        </is>
      </c>
      <c r="G15" s="7" t="inlineStr"/>
    </row>
    <row r="16">
      <c r="A16" s="6" t="inlineStr"/>
      <c r="B16" s="6" t="inlineStr"/>
      <c r="C16" s="7" t="inlineStr"/>
      <c r="D16" s="7" t="inlineStr">
        <is>
          <t>形成标准化管理手册</t>
        </is>
      </c>
      <c r="E16" s="7" t="inlineStr">
        <is>
          <t>管理手册</t>
        </is>
      </c>
      <c r="F16" s="7" t="inlineStr"/>
      <c r="G16" s="7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2026-01-02T00:06:00Z</dcterms:created>
  <dcterms:modified xmlns:dcterms="http://purl.org/dc/terms/" xmlns:xsi="http://www.w3.org/2001/XMLSchema-instance" xsi:type="dcterms:W3CDTF">2026-01-02T00:06:00Z</dcterms:modified>
</cp:coreProperties>
</file>
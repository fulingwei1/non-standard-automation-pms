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20" activeTab="6"/>
  </bookViews>
  <sheets>
    <sheet name="项目主表" sheetId="1" r:id="rId1"/>
    <sheet name="生产进度跟踪" sheetId="2" r:id="rId2"/>
    <sheet name="人员工作量统计" sheetId="3" r:id="rId3"/>
    <sheet name="物料跟踪表" sheetId="4" r:id="rId4"/>
    <sheet name="客户交付看板" sheetId="5" r:id="rId5"/>
    <sheet name="异常项目管理" sheetId="6" r:id="rId6"/>
    <sheet name="数据字典" sheetId="7" r:id="rId7"/>
    <sheet name="月度统计仪表盘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<sst xmlns="http://schemas.openxmlformats.org/spreadsheetml/2006/main" count="343" uniqueCount="261">
  <si>
    <t>非标自动化测试设备项目管理系统 - 项目主表</t>
  </si>
  <si>
    <t>2026-01-01</t>
  </si>
  <si>
    <t>基础信息</t>
  </si>
  <si>
    <t>客户信息</t>
  </si>
  <si>
    <t>项目分类</t>
  </si>
  <si>
    <t>时间节点</t>
  </si>
  <si>
    <t>人员分工</t>
  </si>
  <si>
    <t>进度状态</t>
  </si>
  <si>
    <t>财务信息</t>
  </si>
  <si>
    <t>风险与备注</t>
  </si>
  <si>
    <t>序号</t>
  </si>
  <si>
    <t>项目号</t>
  </si>
  <si>
    <t>合同号</t>
  </si>
  <si>
    <t>优先级</t>
  </si>
  <si>
    <t>项目状态</t>
  </si>
  <si>
    <t>预警标识</t>
  </si>
  <si>
    <t>项目名称</t>
  </si>
  <si>
    <t>客户名称</t>
  </si>
  <si>
    <t>客户联系人</t>
  </si>
  <si>
    <t>联系电话</t>
  </si>
  <si>
    <t>收货地址</t>
  </si>
  <si>
    <t>项目种类</t>
  </si>
  <si>
    <t>设备类型</t>
  </si>
  <si>
    <t>是否标准机</t>
  </si>
  <si>
    <t>签单日期</t>
  </si>
  <si>
    <t>合同交期</t>
  </si>
  <si>
    <t>协商交期</t>
  </si>
  <si>
    <t>计划出BOM日期</t>
  </si>
  <si>
    <t>实际出BOM日期</t>
  </si>
  <si>
    <t>计划到料日期</t>
  </si>
  <si>
    <t>实际到料日期</t>
  </si>
  <si>
    <t>计划出货日期</t>
  </si>
  <si>
    <t>业务负责</t>
  </si>
  <si>
    <t>PMC负责</t>
  </si>
  <si>
    <t>项目经理</t>
  </si>
  <si>
    <t>机械负责</t>
  </si>
  <si>
    <t>电气负责</t>
  </si>
  <si>
    <t>上位机/视觉</t>
  </si>
  <si>
    <t>调试负责</t>
  </si>
  <si>
    <t>售后负责</t>
  </si>
  <si>
    <t>机台总数</t>
  </si>
  <si>
    <t>已出货数</t>
  </si>
  <si>
    <t>待交数</t>
  </si>
  <si>
    <t>当前阶段</t>
  </si>
  <si>
    <t>阶段完成率%</t>
  </si>
  <si>
    <t>整体进度%</t>
  </si>
  <si>
    <t>合同金额</t>
  </si>
  <si>
    <t>已收款金额</t>
  </si>
  <si>
    <t>待收款金额</t>
  </si>
  <si>
    <t>付款状态</t>
  </si>
  <si>
    <t>风险等级</t>
  </si>
  <si>
    <t>逾期原因</t>
  </si>
  <si>
    <t>当前状况/备注</t>
  </si>
  <si>
    <t>PJ250708260</t>
  </si>
  <si>
    <t>HT2507-001</t>
  </si>
  <si>
    <t>B-紧急</t>
  </si>
  <si>
    <t>进行中</t>
  </si>
  <si>
    <t>⚠</t>
  </si>
  <si>
    <t>PN001 在线单工位ICT设备（1台）</t>
  </si>
  <si>
    <t>惠州三华</t>
  </si>
  <si>
    <t>张工</t>
  </si>
  <si>
    <t>13800138001</t>
  </si>
  <si>
    <t>惠州市惠城区</t>
  </si>
  <si>
    <t>单机类</t>
  </si>
  <si>
    <t>ICT测试设备</t>
  </si>
  <si>
    <t>否</t>
  </si>
  <si>
    <t>2025-07-08</t>
  </si>
  <si>
    <t>2025-07-28</t>
  </si>
  <si>
    <t>2025-07-10</t>
  </si>
  <si>
    <t>2025-07-18</t>
  </si>
  <si>
    <t/>
  </si>
  <si>
    <t>2025-07-26</t>
  </si>
  <si>
    <t>龙光传</t>
  </si>
  <si>
    <t>常雄</t>
  </si>
  <si>
    <t>李学伟</t>
  </si>
  <si>
    <t>王永锋</t>
  </si>
  <si>
    <t>黄雷</t>
  </si>
  <si>
    <t>刘伟</t>
  </si>
  <si>
    <t>张桥</t>
  </si>
  <si>
    <t>李磊</t>
  </si>
  <si>
    <t>物料到货</t>
  </si>
  <si>
    <t>已预付</t>
  </si>
  <si>
    <t>中</t>
  </si>
  <si>
    <t>物料已到70%，等待关键元器件</t>
  </si>
  <si>
    <t>PJ250716269</t>
  </si>
  <si>
    <t>HT2507-002</t>
  </si>
  <si>
    <t>A-特急</t>
  </si>
  <si>
    <t>🔴</t>
  </si>
  <si>
    <t>PN001 控制板测试设备 定制（10台）</t>
  </si>
  <si>
    <t>格力博(江苏)股份有限公司</t>
  </si>
  <si>
    <t>李经理</t>
  </si>
  <si>
    <t>13900139002</t>
  </si>
  <si>
    <t>江苏省常州市</t>
  </si>
  <si>
    <t>FCT测试设备</t>
  </si>
  <si>
    <t>是</t>
  </si>
  <si>
    <t>2025-07-16</t>
  </si>
  <si>
    <t>2025-07-30</t>
  </si>
  <si>
    <t>2025-07-22</t>
  </si>
  <si>
    <t>苏玲侠</t>
  </si>
  <si>
    <t>洪国安</t>
  </si>
  <si>
    <t>曾杰</t>
  </si>
  <si>
    <t>梁召</t>
  </si>
  <si>
    <t>蔡小龙</t>
  </si>
  <si>
    <t>王永峰</t>
  </si>
  <si>
    <t>调试</t>
  </si>
  <si>
    <t>高</t>
  </si>
  <si>
    <t>客户需求变更</t>
  </si>
  <si>
    <t>标准机柜，2台已出货，剩余8台调试中</t>
  </si>
  <si>
    <t>生产进度跟踪表 - BOM/到料/装配/调试</t>
  </si>
  <si>
    <t>机台名称</t>
  </si>
  <si>
    <t>机台数</t>
  </si>
  <si>
    <t>PMC</t>
  </si>
  <si>
    <t>客户交期</t>
  </si>
  <si>
    <t>计划出BOM</t>
  </si>
  <si>
    <t>实际出BOM</t>
  </si>
  <si>
    <t>BOM延期(天)</t>
  </si>
  <si>
    <t>计划到料</t>
  </si>
  <si>
    <t>实际到料</t>
  </si>
  <si>
    <t>到料延期(天)</t>
  </si>
  <si>
    <t>到料率%</t>
  </si>
  <si>
    <t>计划装配完成</t>
  </si>
  <si>
    <t>实际装配完成</t>
  </si>
  <si>
    <t>装配延期(天)</t>
  </si>
  <si>
    <t>计划调试完成</t>
  </si>
  <si>
    <t>实际调试完成</t>
  </si>
  <si>
    <t>调试延期(天)</t>
  </si>
  <si>
    <t>预计出货</t>
  </si>
  <si>
    <t>当前状态</t>
  </si>
  <si>
    <t>人员工作量统计表</t>
  </si>
  <si>
    <t>姓名</t>
  </si>
  <si>
    <t>部门</t>
  </si>
  <si>
    <t>角色</t>
  </si>
  <si>
    <t>在进行项目数</t>
  </si>
  <si>
    <t>已完成项目数</t>
  </si>
  <si>
    <t>待启动项目数</t>
  </si>
  <si>
    <t>本月出货目标</t>
  </si>
  <si>
    <t>本月已出货</t>
  </si>
  <si>
    <t>完成率%</t>
  </si>
  <si>
    <t>平均项目周期(天)</t>
  </si>
  <si>
    <t>逾期项目数</t>
  </si>
  <si>
    <t>负荷评估</t>
  </si>
  <si>
    <t>机械部</t>
  </si>
  <si>
    <t>机械工程师</t>
  </si>
  <si>
    <t>适中</t>
  </si>
  <si>
    <t>正常</t>
  </si>
  <si>
    <t>电气部</t>
  </si>
  <si>
    <t>电气工程师</t>
  </si>
  <si>
    <t>繁忙</t>
  </si>
  <si>
    <t>软件部</t>
  </si>
  <si>
    <t>上位机工程师</t>
  </si>
  <si>
    <t>测试部</t>
  </si>
  <si>
    <t>调试工程师</t>
  </si>
  <si>
    <t>计划员</t>
  </si>
  <si>
    <t>超负荷</t>
  </si>
  <si>
    <t>项目物料跟踪表</t>
  </si>
  <si>
    <t>BOM发布日期</t>
  </si>
  <si>
    <t>采购下单日期</t>
  </si>
  <si>
    <t>供应商</t>
  </si>
  <si>
    <t>物料类别</t>
  </si>
  <si>
    <t>物料名称</t>
  </si>
  <si>
    <t>数量</t>
  </si>
  <si>
    <t>单价</t>
  </si>
  <si>
    <t>金额</t>
  </si>
  <si>
    <t>预计到货</t>
  </si>
  <si>
    <t>实际到货</t>
  </si>
  <si>
    <t>到货状态</t>
  </si>
  <si>
    <t>延期天数</t>
  </si>
  <si>
    <t>备注</t>
  </si>
  <si>
    <t>客户交付看板 - 按客户维度汇总</t>
  </si>
  <si>
    <t>进行中项目</t>
  </si>
  <si>
    <t>已完成项目</t>
  </si>
  <si>
    <t>总合同金额</t>
  </si>
  <si>
    <t>已收款</t>
  </si>
  <si>
    <t>待收款</t>
  </si>
  <si>
    <t>本月待交付</t>
  </si>
  <si>
    <t>客户满意度</t>
  </si>
  <si>
    <t>最近交付日期</t>
  </si>
  <si>
    <t>下次交付日期</t>
  </si>
  <si>
    <t>主要联系人</t>
  </si>
  <si>
    <t>异常项目管理 - 逾期/暂停/问题项目跟踪</t>
  </si>
  <si>
    <t>异常类型</t>
  </si>
  <si>
    <t>异常等级</t>
  </si>
  <si>
    <t>逾期天数</t>
  </si>
  <si>
    <t>异常原因</t>
  </si>
  <si>
    <t>责任部门</t>
  </si>
  <si>
    <t>责任人</t>
  </si>
  <si>
    <t>解决措施</t>
  </si>
  <si>
    <t>预计解决日期</t>
  </si>
  <si>
    <t>实际解决日期</t>
  </si>
  <si>
    <t>是否关闭</t>
  </si>
  <si>
    <t>跟进记录</t>
  </si>
  <si>
    <t>数据字典 - 字段定义与下拉选项说明</t>
  </si>
  <si>
    <t>字段名称</t>
  </si>
  <si>
    <t>所属表单</t>
  </si>
  <si>
    <t>数据类型</t>
  </si>
  <si>
    <t>下拉选项/格式</t>
  </si>
  <si>
    <t>字段说明</t>
  </si>
  <si>
    <t>项目主表</t>
  </si>
  <si>
    <t>下拉</t>
  </si>
  <si>
    <t>A-特急, B-紧急, C-正常, D-待定</t>
  </si>
  <si>
    <t>A级需当天响应，B级需3天内响应</t>
  </si>
  <si>
    <t>进行中, 已完成, 暂停, 取消, 待启动</t>
  </si>
  <si>
    <t>项目整体状态</t>
  </si>
  <si>
    <t>单机类, 线体类, 改造类, 软件类, 工装类, 贸易类, 物料类</t>
  </si>
  <si>
    <t>根据项目性质分类</t>
  </si>
  <si>
    <t>ICT测试设备, FCT测试设备, EOL测试设备, 烧录设备, 老化设备, 视觉检测, 组装线体, 其他</t>
  </si>
  <si>
    <t>设备功能分类</t>
  </si>
  <si>
    <t>需求确认, 方案设计, 出BOM, 采购下单, 物料到货, 装配, 调试, 验收, 出货, 售后</t>
  </si>
  <si>
    <t>项目所处阶段</t>
  </si>
  <si>
    <t>高, 中, 低, 无</t>
  </si>
  <si>
    <t>项目风险评估</t>
  </si>
  <si>
    <t>待预付, 已预付, 待发货款, 已发货款, 待尾款, 已结清</t>
  </si>
  <si>
    <t>收款进度状态</t>
  </si>
  <si>
    <t>物料跟踪表</t>
  </si>
  <si>
    <t>机加件, 钣金件, 标准件, 电气件, 气动元件, 外协件, 贸易件</t>
  </si>
  <si>
    <t>物料分类</t>
  </si>
  <si>
    <t>未下单, 已下单, 部分到货, 已到货, 已入库, 有问题</t>
  </si>
  <si>
    <t>物料到货状态</t>
  </si>
  <si>
    <t>异常项目管理</t>
  </si>
  <si>
    <t>出货逾期, 物料延期, 设计变更, 客户暂停, 质量问题, 资金问题, 产能不足, 其他</t>
  </si>
  <si>
    <t>异常分类</t>
  </si>
  <si>
    <t>紧急, 重要, 一般</t>
  </si>
  <si>
    <t>异常处理优先级</t>
  </si>
  <si>
    <t>人员工作量统计</t>
  </si>
  <si>
    <t>空闲, 正常, 适中, 繁忙, 超负荷</t>
  </si>
  <si>
    <t>人员工作量评估</t>
  </si>
  <si>
    <t>所有表单</t>
  </si>
  <si>
    <t>文本</t>
  </si>
  <si>
    <t>PJyymmddxxx</t>
  </si>
  <si>
    <t>格式：PJ+年月日+3位序号，如PJ250708001</t>
  </si>
  <si>
    <t>HTyymm-xxx</t>
  </si>
  <si>
    <t>格式：HT+年月-3位序号</t>
  </si>
  <si>
    <t>日期</t>
  </si>
  <si>
    <t>YYYY-MM-DD</t>
  </si>
  <si>
    <t>统一使用ISO日期格式</t>
  </si>
  <si>
    <t>数值</t>
  </si>
  <si>
    <t>保留2位小数</t>
  </si>
  <si>
    <t>单位：元</t>
  </si>
  <si>
    <t>百分比</t>
  </si>
  <si>
    <t>保留1位小数</t>
  </si>
  <si>
    <t>如进度75.5%</t>
  </si>
  <si>
    <t>月度数据统计仪表盘</t>
  </si>
  <si>
    <t>关键绩效指标</t>
  </si>
  <si>
    <t>月度趋势数据</t>
  </si>
  <si>
    <t>本月签单项目数</t>
  </si>
  <si>
    <t>月份</t>
  </si>
  <si>
    <t>签单数</t>
  </si>
  <si>
    <t>出货数</t>
  </si>
  <si>
    <t>签单金额(万)</t>
  </si>
  <si>
    <t>出货金额(万)</t>
  </si>
  <si>
    <t>按时率%</t>
  </si>
  <si>
    <t>提前率%</t>
  </si>
  <si>
    <t>逾期率%</t>
  </si>
  <si>
    <t>平均周期</t>
  </si>
  <si>
    <t>本月出货项目数</t>
  </si>
  <si>
    <t>本月签单金额(万)</t>
  </si>
  <si>
    <t>本月出货金额(万)</t>
  </si>
  <si>
    <t>按时交付率%</t>
  </si>
  <si>
    <t>客户满意度%</t>
  </si>
  <si>
    <t>在制项目总数</t>
  </si>
  <si>
    <t>平均生产周期(天)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</si>
</sst>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1F4E79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6"/>
      <color rgb="FF1F4E79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/>
    <xf numFmtId="0" fontId="0" fillId="0" borderId="1" xfId="0" applyBorder="1"/>
    <xf numFmtId="0" fontId="0" fillId="3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"/>
  <sheetViews>
    <sheetView workbookViewId="0">
      <pane xSplit="7" ySplit="3" topLeftCell="H4" activePane="bottomRight" state="frozen"/>
      <selection/>
      <selection pane="topRight"/>
      <selection pane="bottomLeft"/>
      <selection pane="bottomRight" activeCell="A1" sqref="A1:AJ1"/>
    </sheetView>
  </sheetViews>
  <sheetFormatPr defaultColWidth="9" defaultRowHeight="16.8" outlineLevelRow="4"/>
  <cols>
    <col min="1" max="1" width="6" customWidth="1"/>
    <col min="2" max="3" width="14" customWidth="1"/>
    <col min="4" max="4" width="8" customWidth="1"/>
    <col min="5" max="5" width="10" customWidth="1"/>
    <col min="6" max="6" width="8" customWidth="1"/>
    <col min="7" max="7" width="45" customWidth="1"/>
    <col min="8" max="8" width="20" customWidth="1"/>
    <col min="9" max="9" width="12" customWidth="1"/>
    <col min="10" max="10" width="14" customWidth="1"/>
    <col min="11" max="11" width="25" customWidth="1"/>
    <col min="12" max="12" width="10" customWidth="1"/>
    <col min="13" max="13" width="12" customWidth="1"/>
    <col min="14" max="14" width="18.1057692307692" customWidth="1"/>
    <col min="15" max="22" width="12" customWidth="1"/>
    <col min="23" max="27" width="10" customWidth="1"/>
    <col min="28" max="28" width="13.4615384615385" customWidth="1"/>
    <col min="29" max="30" width="10" customWidth="1"/>
    <col min="31" max="33" width="8" customWidth="1"/>
    <col min="34" max="34" width="12" customWidth="1"/>
    <col min="35" max="36" width="10" customWidth="1"/>
    <col min="37" max="39" width="12" customWidth="1"/>
    <col min="40" max="40" width="10" customWidth="1"/>
    <col min="41" max="41" width="8" customWidth="1"/>
    <col min="42" max="42" width="20" customWidth="1"/>
    <col min="43" max="43" width="50" customWidth="1"/>
  </cols>
  <sheetData>
    <row r="1" ht="23.2" spans="1:43">
      <c r="A1" s="8" t="s">
        <v>0</v>
      </c>
      <c r="AK1" s="9" t="s">
        <v>1</v>
      </c>
    </row>
    <row r="2" ht="25" customHeight="1" spans="1:43">
      <c r="A2" s="5" t="s">
        <v>2</v>
      </c>
      <c r="B2" s="5"/>
      <c r="C2" s="5"/>
      <c r="D2" s="5"/>
      <c r="E2" s="5"/>
      <c r="F2" s="5"/>
      <c r="G2" s="5"/>
      <c r="H2" s="5" t="s">
        <v>3</v>
      </c>
      <c r="I2" s="5"/>
      <c r="J2" s="5"/>
      <c r="K2" s="5"/>
      <c r="L2" s="5" t="s">
        <v>4</v>
      </c>
      <c r="M2" s="5"/>
      <c r="N2" s="5"/>
      <c r="O2" s="5" t="s">
        <v>5</v>
      </c>
      <c r="P2" s="5"/>
      <c r="Q2" s="5"/>
      <c r="R2" s="5"/>
      <c r="S2" s="5"/>
      <c r="T2" s="5"/>
      <c r="U2" s="5"/>
      <c r="V2" s="5"/>
      <c r="W2" s="5" t="s">
        <v>6</v>
      </c>
      <c r="X2" s="5"/>
      <c r="Y2" s="5"/>
      <c r="Z2" s="5"/>
      <c r="AA2" s="5"/>
      <c r="AB2" s="5"/>
      <c r="AC2" s="5"/>
      <c r="AD2" s="5"/>
      <c r="AE2" s="5" t="s">
        <v>7</v>
      </c>
      <c r="AF2" s="5"/>
      <c r="AG2" s="5"/>
      <c r="AH2" s="5"/>
      <c r="AI2" s="5"/>
      <c r="AJ2" s="5"/>
      <c r="AK2" s="5" t="s">
        <v>8</v>
      </c>
      <c r="AL2" s="5"/>
      <c r="AM2" s="5"/>
      <c r="AN2" s="5"/>
      <c r="AO2" s="5" t="s">
        <v>9</v>
      </c>
      <c r="AP2" s="5"/>
      <c r="AQ2" s="5"/>
    </row>
    <row r="3" ht="35" customHeight="1" spans="1:43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10" t="s">
        <v>17</v>
      </c>
      <c r="I3" s="10" t="s">
        <v>18</v>
      </c>
      <c r="J3" s="10" t="s">
        <v>19</v>
      </c>
      <c r="K3" s="10" t="s">
        <v>20</v>
      </c>
      <c r="L3" s="10" t="s">
        <v>21</v>
      </c>
      <c r="M3" s="10" t="s">
        <v>22</v>
      </c>
      <c r="N3" s="10" t="s">
        <v>23</v>
      </c>
      <c r="O3" s="10" t="s">
        <v>24</v>
      </c>
      <c r="P3" s="10" t="s">
        <v>25</v>
      </c>
      <c r="Q3" s="10" t="s">
        <v>26</v>
      </c>
      <c r="R3" s="10" t="s">
        <v>27</v>
      </c>
      <c r="S3" s="10" t="s">
        <v>28</v>
      </c>
      <c r="T3" s="10" t="s">
        <v>29</v>
      </c>
      <c r="U3" s="10" t="s">
        <v>30</v>
      </c>
      <c r="V3" s="10" t="s">
        <v>31</v>
      </c>
      <c r="W3" s="10" t="s">
        <v>32</v>
      </c>
      <c r="X3" s="10" t="s">
        <v>33</v>
      </c>
      <c r="Y3" s="10" t="s">
        <v>34</v>
      </c>
      <c r="Z3" s="10" t="s">
        <v>35</v>
      </c>
      <c r="AA3" s="10" t="s">
        <v>36</v>
      </c>
      <c r="AB3" s="10" t="s">
        <v>37</v>
      </c>
      <c r="AC3" s="10" t="s">
        <v>38</v>
      </c>
      <c r="AD3" s="10" t="s">
        <v>39</v>
      </c>
      <c r="AE3" s="10" t="s">
        <v>40</v>
      </c>
      <c r="AF3" s="10" t="s">
        <v>41</v>
      </c>
      <c r="AG3" s="10" t="s">
        <v>42</v>
      </c>
      <c r="AH3" s="10" t="s">
        <v>43</v>
      </c>
      <c r="AI3" s="10" t="s">
        <v>44</v>
      </c>
      <c r="AJ3" s="10" t="s">
        <v>45</v>
      </c>
      <c r="AK3" s="10" t="s">
        <v>46</v>
      </c>
      <c r="AL3" s="10" t="s">
        <v>47</v>
      </c>
      <c r="AM3" s="10" t="s">
        <v>48</v>
      </c>
      <c r="AN3" s="10" t="s">
        <v>49</v>
      </c>
      <c r="AO3" s="10" t="s">
        <v>50</v>
      </c>
      <c r="AP3" s="10" t="s">
        <v>51</v>
      </c>
      <c r="AQ3" s="10" t="s">
        <v>52</v>
      </c>
    </row>
    <row r="4" ht="34" spans="1:43">
      <c r="A4" s="6">
        <v>1</v>
      </c>
      <c r="B4" s="6" t="s">
        <v>53</v>
      </c>
      <c r="C4" s="6" t="s">
        <v>54</v>
      </c>
      <c r="D4" s="11" t="s">
        <v>55</v>
      </c>
      <c r="E4" s="6" t="s">
        <v>56</v>
      </c>
      <c r="F4" s="6" t="s">
        <v>57</v>
      </c>
      <c r="G4" s="7" t="s">
        <v>58</v>
      </c>
      <c r="H4" s="7" t="s">
        <v>59</v>
      </c>
      <c r="I4" s="7" t="s">
        <v>60</v>
      </c>
      <c r="J4" s="7" t="s">
        <v>61</v>
      </c>
      <c r="K4" s="7" t="s">
        <v>62</v>
      </c>
      <c r="L4" s="7" t="s">
        <v>63</v>
      </c>
      <c r="M4" s="7" t="s">
        <v>64</v>
      </c>
      <c r="N4" s="7" t="s">
        <v>65</v>
      </c>
      <c r="O4" s="7" t="s">
        <v>66</v>
      </c>
      <c r="P4" s="7" t="s">
        <v>67</v>
      </c>
      <c r="Q4" s="7" t="s">
        <v>67</v>
      </c>
      <c r="R4" s="7" t="s">
        <v>68</v>
      </c>
      <c r="S4" s="7" t="s">
        <v>68</v>
      </c>
      <c r="T4" s="7" t="s">
        <v>69</v>
      </c>
      <c r="U4" s="7" t="s">
        <v>70</v>
      </c>
      <c r="V4" s="7" t="s">
        <v>71</v>
      </c>
      <c r="W4" s="7" t="s">
        <v>72</v>
      </c>
      <c r="X4" s="7" t="s">
        <v>73</v>
      </c>
      <c r="Y4" s="7" t="s">
        <v>74</v>
      </c>
      <c r="Z4" s="7" t="s">
        <v>75</v>
      </c>
      <c r="AA4" s="7" t="s">
        <v>76</v>
      </c>
      <c r="AB4" s="7" t="s">
        <v>77</v>
      </c>
      <c r="AC4" s="7" t="s">
        <v>78</v>
      </c>
      <c r="AD4" s="7" t="s">
        <v>79</v>
      </c>
      <c r="AE4" s="7">
        <v>1</v>
      </c>
      <c r="AF4" s="7">
        <v>0</v>
      </c>
      <c r="AG4" s="7">
        <v>1</v>
      </c>
      <c r="AH4" s="7" t="s">
        <v>80</v>
      </c>
      <c r="AI4" s="7">
        <v>60</v>
      </c>
      <c r="AJ4" s="7">
        <v>55</v>
      </c>
      <c r="AK4" s="7">
        <v>150000</v>
      </c>
      <c r="AL4" s="7">
        <v>45000</v>
      </c>
      <c r="AM4" s="7">
        <v>105000</v>
      </c>
      <c r="AN4" s="7" t="s">
        <v>81</v>
      </c>
      <c r="AO4" s="7" t="s">
        <v>82</v>
      </c>
      <c r="AP4" s="7" t="s">
        <v>70</v>
      </c>
      <c r="AQ4" s="7" t="s">
        <v>83</v>
      </c>
    </row>
    <row r="5" ht="34" spans="1:43">
      <c r="A5" s="6">
        <v>2</v>
      </c>
      <c r="B5" s="6" t="s">
        <v>84</v>
      </c>
      <c r="C5" s="6" t="s">
        <v>85</v>
      </c>
      <c r="D5" s="12" t="s">
        <v>86</v>
      </c>
      <c r="E5" s="6" t="s">
        <v>56</v>
      </c>
      <c r="F5" s="6" t="s">
        <v>87</v>
      </c>
      <c r="G5" s="7" t="s">
        <v>88</v>
      </c>
      <c r="H5" s="7" t="s">
        <v>89</v>
      </c>
      <c r="I5" s="7" t="s">
        <v>90</v>
      </c>
      <c r="J5" s="7" t="s">
        <v>91</v>
      </c>
      <c r="K5" s="7" t="s">
        <v>92</v>
      </c>
      <c r="L5" s="7" t="s">
        <v>63</v>
      </c>
      <c r="M5" s="7" t="s">
        <v>93</v>
      </c>
      <c r="N5" s="7" t="s">
        <v>94</v>
      </c>
      <c r="O5" s="7" t="s">
        <v>95</v>
      </c>
      <c r="P5" s="7" t="s">
        <v>96</v>
      </c>
      <c r="Q5" s="7" t="s">
        <v>96</v>
      </c>
      <c r="R5" s="7" t="s">
        <v>69</v>
      </c>
      <c r="S5" s="7" t="s">
        <v>69</v>
      </c>
      <c r="T5" s="7" t="s">
        <v>97</v>
      </c>
      <c r="U5" s="7" t="s">
        <v>97</v>
      </c>
      <c r="V5" s="7" t="s">
        <v>67</v>
      </c>
      <c r="W5" s="7" t="s">
        <v>98</v>
      </c>
      <c r="X5" s="7" t="s">
        <v>73</v>
      </c>
      <c r="Y5" s="7" t="s">
        <v>99</v>
      </c>
      <c r="Z5" s="7" t="s">
        <v>100</v>
      </c>
      <c r="AA5" s="7" t="s">
        <v>79</v>
      </c>
      <c r="AB5" s="7" t="s">
        <v>101</v>
      </c>
      <c r="AC5" s="7" t="s">
        <v>102</v>
      </c>
      <c r="AD5" s="7" t="s">
        <v>103</v>
      </c>
      <c r="AE5" s="7">
        <v>10</v>
      </c>
      <c r="AF5" s="7">
        <v>2</v>
      </c>
      <c r="AG5" s="7">
        <v>8</v>
      </c>
      <c r="AH5" s="7" t="s">
        <v>104</v>
      </c>
      <c r="AI5" s="7">
        <v>80</v>
      </c>
      <c r="AJ5" s="7">
        <v>75</v>
      </c>
      <c r="AK5" s="7">
        <v>850000</v>
      </c>
      <c r="AL5" s="7">
        <v>340000</v>
      </c>
      <c r="AM5" s="7">
        <v>510000</v>
      </c>
      <c r="AN5" s="7" t="s">
        <v>81</v>
      </c>
      <c r="AO5" s="7" t="s">
        <v>105</v>
      </c>
      <c r="AP5" s="7" t="s">
        <v>106</v>
      </c>
      <c r="AQ5" s="7" t="s">
        <v>107</v>
      </c>
    </row>
  </sheetData>
  <mergeCells count="9">
    <mergeCell ref="A1:AJ1"/>
    <mergeCell ref="A2:G2"/>
    <mergeCell ref="H2:K2"/>
    <mergeCell ref="L2:N2"/>
    <mergeCell ref="O2:V2"/>
    <mergeCell ref="W2:AD2"/>
    <mergeCell ref="AE2:AJ2"/>
    <mergeCell ref="AK2:AN2"/>
    <mergeCell ref="AO2:AQ2"/>
  </mergeCells>
  <dataValidations count="7">
    <dataValidation type="list" allowBlank="1" sqref="D4:D1000">
      <formula1>"A-特急,B-紧急,C-正常,D-待定"</formula1>
    </dataValidation>
    <dataValidation type="list" allowBlank="1" sqref="E4:E1000">
      <formula1>"进行中,已完成,暂停,取消,待启动"</formula1>
    </dataValidation>
    <dataValidation type="list" allowBlank="1" sqref="L4:L1000">
      <formula1>"单机类,线体类,改造类,软件类,工装类,贸易类,物料类"</formula1>
    </dataValidation>
    <dataValidation type="list" allowBlank="1" sqref="M4:M1000">
      <formula1>"ICT测试设备,FCT测试设备,EOL测试设备,烧录设备,老化设备,视觉检测,组装线体,其他"</formula1>
    </dataValidation>
    <dataValidation type="list" allowBlank="1" sqref="AH4:AH1000">
      <formula1>"需求确认,方案设计,出BOM,采购下单,物料到货,装配,调试,验收,出货,售后"</formula1>
    </dataValidation>
    <dataValidation type="list" allowBlank="1" sqref="AL4:AL1000">
      <formula1>"待预付,已预付,待发货款,已发货款,待尾款,已结清"</formula1>
    </dataValidation>
    <dataValidation type="list" allowBlank="1" sqref="AM4:AM1000">
      <formula1>"高,中,低,无"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A1" sqref="A1:U1"/>
    </sheetView>
  </sheetViews>
  <sheetFormatPr defaultColWidth="9" defaultRowHeight="16.8" outlineLevelRow="2"/>
  <cols>
    <col min="1" max="1" width="6" customWidth="1"/>
    <col min="2" max="2" width="14" customWidth="1"/>
    <col min="3" max="3" width="40" customWidth="1"/>
    <col min="4" max="5" width="8" customWidth="1"/>
    <col min="6" max="8" width="12" customWidth="1"/>
    <col min="9" max="9" width="10" customWidth="1"/>
    <col min="10" max="11" width="12" customWidth="1"/>
    <col min="12" max="12" width="10" customWidth="1"/>
    <col min="13" max="13" width="8" customWidth="1"/>
    <col min="14" max="15" width="12" customWidth="1"/>
    <col min="16" max="16" width="10" customWidth="1"/>
    <col min="17" max="18" width="12" customWidth="1"/>
    <col min="19" max="19" width="10" customWidth="1"/>
    <col min="20" max="20" width="12" customWidth="1"/>
    <col min="21" max="21" width="15" customWidth="1"/>
  </cols>
  <sheetData>
    <row r="1" ht="20.4" spans="1:21">
      <c r="A1" s="1" t="s">
        <v>108</v>
      </c>
    </row>
    <row r="2" ht="34" spans="1:21">
      <c r="A2" s="5" t="s">
        <v>10</v>
      </c>
      <c r="B2" s="5" t="s">
        <v>11</v>
      </c>
      <c r="C2" s="5" t="s">
        <v>109</v>
      </c>
      <c r="D2" s="5" t="s">
        <v>110</v>
      </c>
      <c r="E2" s="5" t="s">
        <v>111</v>
      </c>
      <c r="F2" s="5" t="s">
        <v>112</v>
      </c>
      <c r="G2" s="5" t="s">
        <v>113</v>
      </c>
      <c r="H2" s="5" t="s">
        <v>114</v>
      </c>
      <c r="I2" s="5" t="s">
        <v>115</v>
      </c>
      <c r="J2" s="5" t="s">
        <v>116</v>
      </c>
      <c r="K2" s="5" t="s">
        <v>117</v>
      </c>
      <c r="L2" s="5" t="s">
        <v>118</v>
      </c>
      <c r="M2" s="5" t="s">
        <v>119</v>
      </c>
      <c r="N2" s="5" t="s">
        <v>120</v>
      </c>
      <c r="O2" s="5" t="s">
        <v>121</v>
      </c>
      <c r="P2" s="5" t="s">
        <v>122</v>
      </c>
      <c r="Q2" s="5" t="s">
        <v>123</v>
      </c>
      <c r="R2" s="5" t="s">
        <v>124</v>
      </c>
      <c r="S2" s="5" t="s">
        <v>125</v>
      </c>
      <c r="T2" s="5" t="s">
        <v>126</v>
      </c>
      <c r="U2" s="5" t="s">
        <v>127</v>
      </c>
    </row>
    <row r="3" spans="1:21">
      <c r="I3" t="str">
        <f>IF(AND(H3&lt;&gt;"",G3&lt;&gt;""),H3-G3,"")</f>
        <v/>
      </c>
      <c r="L3" t="str">
        <f>IF(AND(K3&lt;&gt;"",J3&lt;&gt;""),K3-J3,"")</f>
        <v/>
      </c>
      <c r="P3" t="str">
        <f>IF(AND(O3&lt;&gt;"",N3&lt;&gt;""),O3-N3,"")</f>
        <v/>
      </c>
      <c r="S3" t="str">
        <f>IF(AND(R3&lt;&gt;"",Q3&lt;&gt;""),R3-Q3,"")</f>
        <v/>
      </c>
    </row>
  </sheetData>
  <mergeCells count="1">
    <mergeCell ref="A1:U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:L1"/>
    </sheetView>
  </sheetViews>
  <sheetFormatPr defaultColWidth="9" defaultRowHeight="16.8" outlineLevelRow="7"/>
  <cols>
    <col min="1" max="1" width="12" customWidth="1"/>
    <col min="2" max="2" width="10" customWidth="1"/>
    <col min="3" max="3" width="14" customWidth="1"/>
    <col min="4" max="8" width="12" customWidth="1"/>
    <col min="9" max="9" width="10" customWidth="1"/>
    <col min="10" max="10" width="14" customWidth="1"/>
    <col min="11" max="11" width="12" customWidth="1"/>
    <col min="12" max="12" width="10" customWidth="1"/>
  </cols>
  <sheetData>
    <row r="1" ht="20.4" spans="1:12">
      <c r="A1" s="1" t="s">
        <v>128</v>
      </c>
    </row>
    <row r="2" ht="34" spans="1:12">
      <c r="A2" s="5" t="s">
        <v>129</v>
      </c>
      <c r="B2" s="5" t="s">
        <v>130</v>
      </c>
      <c r="C2" s="5" t="s">
        <v>131</v>
      </c>
      <c r="D2" s="5" t="s">
        <v>132</v>
      </c>
      <c r="E2" s="5" t="s">
        <v>133</v>
      </c>
      <c r="F2" s="5" t="s">
        <v>134</v>
      </c>
      <c r="G2" s="5" t="s">
        <v>135</v>
      </c>
      <c r="H2" s="5" t="s">
        <v>136</v>
      </c>
      <c r="I2" s="5" t="s">
        <v>137</v>
      </c>
      <c r="J2" s="5" t="s">
        <v>138</v>
      </c>
      <c r="K2" s="5" t="s">
        <v>139</v>
      </c>
      <c r="L2" s="5" t="s">
        <v>140</v>
      </c>
    </row>
    <row r="3" ht="17" spans="1:12">
      <c r="A3" s="6" t="s">
        <v>74</v>
      </c>
      <c r="B3" s="6" t="s">
        <v>141</v>
      </c>
      <c r="C3" s="6" t="s">
        <v>142</v>
      </c>
      <c r="D3" s="6">
        <v>5</v>
      </c>
      <c r="E3" s="6">
        <v>23</v>
      </c>
      <c r="F3" s="6">
        <v>2</v>
      </c>
      <c r="G3" s="6">
        <v>8</v>
      </c>
      <c r="H3" s="6">
        <v>3</v>
      </c>
      <c r="I3" s="6">
        <f t="shared" ref="I3:I8" si="0">H3/G3</f>
        <v>0.375</v>
      </c>
      <c r="J3" s="6">
        <v>25</v>
      </c>
      <c r="K3" s="6">
        <v>1</v>
      </c>
      <c r="L3" s="6" t="s">
        <v>143</v>
      </c>
    </row>
    <row r="4" ht="17" spans="1:12">
      <c r="A4" s="6" t="s">
        <v>75</v>
      </c>
      <c r="B4" s="6" t="s">
        <v>141</v>
      </c>
      <c r="C4" s="6" t="s">
        <v>142</v>
      </c>
      <c r="D4" s="6">
        <v>4</v>
      </c>
      <c r="E4" s="6">
        <v>31</v>
      </c>
      <c r="F4" s="6">
        <v>1</v>
      </c>
      <c r="G4" s="6">
        <v>6</v>
      </c>
      <c r="H4" s="6">
        <v>4</v>
      </c>
      <c r="I4" s="6">
        <f t="shared" si="0"/>
        <v>0.666666666666667</v>
      </c>
      <c r="J4" s="6">
        <v>22</v>
      </c>
      <c r="K4" s="6">
        <v>0</v>
      </c>
      <c r="L4" s="6" t="s">
        <v>144</v>
      </c>
    </row>
    <row r="5" ht="17" spans="1:12">
      <c r="A5" s="6" t="s">
        <v>76</v>
      </c>
      <c r="B5" s="6" t="s">
        <v>145</v>
      </c>
      <c r="C5" s="6" t="s">
        <v>146</v>
      </c>
      <c r="D5" s="6">
        <v>6</v>
      </c>
      <c r="E5" s="6">
        <v>28</v>
      </c>
      <c r="F5" s="6">
        <v>3</v>
      </c>
      <c r="G5" s="6">
        <v>10</v>
      </c>
      <c r="H5" s="6">
        <v>5</v>
      </c>
      <c r="I5" s="6">
        <f t="shared" si="0"/>
        <v>0.5</v>
      </c>
      <c r="J5" s="6">
        <v>28</v>
      </c>
      <c r="K5" s="6">
        <v>2</v>
      </c>
      <c r="L5" s="6" t="s">
        <v>147</v>
      </c>
    </row>
    <row r="6" ht="17" spans="1:12">
      <c r="A6" s="6" t="s">
        <v>77</v>
      </c>
      <c r="B6" s="6" t="s">
        <v>148</v>
      </c>
      <c r="C6" s="6" t="s">
        <v>149</v>
      </c>
      <c r="D6" s="6">
        <v>3</v>
      </c>
      <c r="E6" s="6">
        <v>19</v>
      </c>
      <c r="F6" s="6">
        <v>1</v>
      </c>
      <c r="G6" s="6">
        <v>5</v>
      </c>
      <c r="H6" s="6">
        <v>2</v>
      </c>
      <c r="I6" s="6">
        <f t="shared" si="0"/>
        <v>0.4</v>
      </c>
      <c r="J6" s="6">
        <v>30</v>
      </c>
      <c r="K6" s="6">
        <v>0</v>
      </c>
      <c r="L6" s="6" t="s">
        <v>144</v>
      </c>
    </row>
    <row r="7" ht="17" spans="1:12">
      <c r="A7" s="6" t="s">
        <v>78</v>
      </c>
      <c r="B7" s="6" t="s">
        <v>150</v>
      </c>
      <c r="C7" s="6" t="s">
        <v>151</v>
      </c>
      <c r="D7" s="6">
        <v>7</v>
      </c>
      <c r="E7" s="6">
        <v>35</v>
      </c>
      <c r="F7" s="6">
        <v>2</v>
      </c>
      <c r="G7" s="6">
        <v>12</v>
      </c>
      <c r="H7" s="6">
        <v>6</v>
      </c>
      <c r="I7" s="6">
        <f t="shared" si="0"/>
        <v>0.5</v>
      </c>
      <c r="J7" s="6">
        <v>20</v>
      </c>
      <c r="K7" s="6">
        <v>1</v>
      </c>
      <c r="L7" s="6" t="s">
        <v>147</v>
      </c>
    </row>
    <row r="8" ht="17" spans="1:12">
      <c r="A8" s="6" t="s">
        <v>73</v>
      </c>
      <c r="B8" s="6" t="s">
        <v>111</v>
      </c>
      <c r="C8" s="6" t="s">
        <v>152</v>
      </c>
      <c r="D8" s="6">
        <v>15</v>
      </c>
      <c r="E8" s="6">
        <v>120</v>
      </c>
      <c r="F8" s="6">
        <v>8</v>
      </c>
      <c r="G8" s="6">
        <v>20</v>
      </c>
      <c r="H8" s="6">
        <v>10</v>
      </c>
      <c r="I8" s="6">
        <f t="shared" si="0"/>
        <v>0.5</v>
      </c>
      <c r="J8" s="6">
        <v>18</v>
      </c>
      <c r="K8" s="6">
        <v>3</v>
      </c>
      <c r="L8" s="6" t="s">
        <v>153</v>
      </c>
    </row>
  </sheetData>
  <mergeCells count="1">
    <mergeCell ref="A1:L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workbookViewId="0">
      <selection activeCell="A1" sqref="A1:P1"/>
    </sheetView>
  </sheetViews>
  <sheetFormatPr defaultColWidth="9" defaultRowHeight="16.8" outlineLevelRow="1"/>
  <cols>
    <col min="1" max="1" width="6" customWidth="1"/>
    <col min="2" max="2" width="14" customWidth="1"/>
    <col min="3" max="3" width="30" customWidth="1"/>
    <col min="4" max="5" width="12" customWidth="1"/>
    <col min="6" max="6" width="15" customWidth="1"/>
    <col min="7" max="7" width="12" customWidth="1"/>
    <col min="8" max="8" width="25" customWidth="1"/>
    <col min="9" max="9" width="8" customWidth="1"/>
    <col min="10" max="10" width="10" customWidth="1"/>
    <col min="11" max="13" width="12" customWidth="1"/>
    <col min="14" max="15" width="10" customWidth="1"/>
    <col min="16" max="16" width="20" customWidth="1"/>
  </cols>
  <sheetData>
    <row r="1" ht="20.4" spans="1:16">
      <c r="A1" s="1" t="s">
        <v>154</v>
      </c>
    </row>
    <row r="2" ht="34" spans="1:16">
      <c r="A2" s="5" t="s">
        <v>10</v>
      </c>
      <c r="B2" s="5" t="s">
        <v>11</v>
      </c>
      <c r="C2" s="5" t="s">
        <v>109</v>
      </c>
      <c r="D2" s="5" t="s">
        <v>155</v>
      </c>
      <c r="E2" s="5" t="s">
        <v>156</v>
      </c>
      <c r="F2" s="5" t="s">
        <v>157</v>
      </c>
      <c r="G2" s="5" t="s">
        <v>158</v>
      </c>
      <c r="H2" s="5" t="s">
        <v>159</v>
      </c>
      <c r="I2" s="5" t="s">
        <v>160</v>
      </c>
      <c r="J2" s="5" t="s">
        <v>161</v>
      </c>
      <c r="K2" s="5" t="s">
        <v>162</v>
      </c>
      <c r="L2" s="5" t="s">
        <v>163</v>
      </c>
      <c r="M2" s="5" t="s">
        <v>164</v>
      </c>
      <c r="N2" s="5" t="s">
        <v>165</v>
      </c>
      <c r="O2" s="5" t="s">
        <v>166</v>
      </c>
      <c r="P2" s="5" t="s">
        <v>167</v>
      </c>
    </row>
  </sheetData>
  <mergeCells count="1">
    <mergeCell ref="A1:P1"/>
  </mergeCells>
  <dataValidations count="2">
    <dataValidation type="list" allowBlank="1" sqref="G3:G1000">
      <formula1>"机加件,钣金件,标准件,电气件,气动元件,外协件,贸易件"</formula1>
    </dataValidation>
    <dataValidation type="list" allowBlank="1" sqref="N3:N1000">
      <formula1>"未下单,已下单,部分到货,已到货,已入库,有问题"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A1" sqref="A1:N1"/>
    </sheetView>
  </sheetViews>
  <sheetFormatPr defaultColWidth="9" defaultRowHeight="16.8" outlineLevelRow="1"/>
  <cols>
    <col min="1" max="1" width="25" customWidth="1"/>
    <col min="2" max="3" width="12" customWidth="1"/>
    <col min="4" max="4" width="14" customWidth="1"/>
    <col min="5" max="8" width="12" customWidth="1"/>
    <col min="9" max="9" width="10" customWidth="1"/>
    <col min="10" max="12" width="12" customWidth="1"/>
    <col min="13" max="13" width="14" customWidth="1"/>
    <col min="14" max="14" width="25" customWidth="1"/>
  </cols>
  <sheetData>
    <row r="1" ht="20.4" spans="1:14">
      <c r="A1" s="1" t="s">
        <v>168</v>
      </c>
    </row>
    <row r="2" ht="34" spans="1:14">
      <c r="A2" s="5" t="s">
        <v>17</v>
      </c>
      <c r="B2" s="5" t="s">
        <v>169</v>
      </c>
      <c r="C2" s="5" t="s">
        <v>170</v>
      </c>
      <c r="D2" s="5" t="s">
        <v>171</v>
      </c>
      <c r="E2" s="5" t="s">
        <v>172</v>
      </c>
      <c r="F2" s="5" t="s">
        <v>173</v>
      </c>
      <c r="G2" s="5" t="s">
        <v>174</v>
      </c>
      <c r="H2" s="5" t="s">
        <v>139</v>
      </c>
      <c r="I2" s="5" t="s">
        <v>175</v>
      </c>
      <c r="J2" s="5" t="s">
        <v>176</v>
      </c>
      <c r="K2" s="5" t="s">
        <v>177</v>
      </c>
      <c r="L2" s="5" t="s">
        <v>178</v>
      </c>
      <c r="M2" s="5" t="s">
        <v>19</v>
      </c>
      <c r="N2" s="5" t="s">
        <v>167</v>
      </c>
    </row>
  </sheetData>
  <mergeCells count="1">
    <mergeCell ref="A1:N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selection activeCell="A1" sqref="A1:R1"/>
    </sheetView>
  </sheetViews>
  <sheetFormatPr defaultColWidth="9" defaultRowHeight="16.8" outlineLevelRow="1"/>
  <cols>
    <col min="1" max="1" width="6" customWidth="1"/>
    <col min="2" max="2" width="14" customWidth="1"/>
    <col min="3" max="3" width="20" customWidth="1"/>
    <col min="4" max="4" width="35" customWidth="1"/>
    <col min="5" max="5" width="12" customWidth="1"/>
    <col min="6" max="6" width="10" customWidth="1"/>
    <col min="7" max="7" width="12" customWidth="1"/>
    <col min="8" max="9" width="10" customWidth="1"/>
    <col min="10" max="10" width="25" customWidth="1"/>
    <col min="11" max="11" width="12" customWidth="1"/>
    <col min="12" max="12" width="10" customWidth="1"/>
    <col min="13" max="13" width="30" customWidth="1"/>
    <col min="14" max="15" width="12" customWidth="1"/>
    <col min="16" max="16" width="10" customWidth="1"/>
    <col min="17" max="17" width="40" customWidth="1"/>
    <col min="18" max="18" width="25" customWidth="1"/>
  </cols>
  <sheetData>
    <row r="1" ht="20.4" spans="1:18">
      <c r="A1" s="1" t="s">
        <v>179</v>
      </c>
    </row>
    <row r="2" ht="34" spans="1:18">
      <c r="A2" s="5" t="s">
        <v>10</v>
      </c>
      <c r="B2" s="5" t="s">
        <v>11</v>
      </c>
      <c r="C2" s="5" t="s">
        <v>17</v>
      </c>
      <c r="D2" s="5" t="s">
        <v>16</v>
      </c>
      <c r="E2" s="5" t="s">
        <v>180</v>
      </c>
      <c r="F2" s="5" t="s">
        <v>181</v>
      </c>
      <c r="G2" s="5" t="s">
        <v>25</v>
      </c>
      <c r="H2" s="5" t="s">
        <v>127</v>
      </c>
      <c r="I2" s="5" t="s">
        <v>182</v>
      </c>
      <c r="J2" s="5" t="s">
        <v>183</v>
      </c>
      <c r="K2" s="5" t="s">
        <v>184</v>
      </c>
      <c r="L2" s="5" t="s">
        <v>185</v>
      </c>
      <c r="M2" s="5" t="s">
        <v>186</v>
      </c>
      <c r="N2" s="5" t="s">
        <v>187</v>
      </c>
      <c r="O2" s="5" t="s">
        <v>188</v>
      </c>
      <c r="P2" s="5" t="s">
        <v>189</v>
      </c>
      <c r="Q2" s="5" t="s">
        <v>190</v>
      </c>
      <c r="R2" s="5" t="s">
        <v>167</v>
      </c>
    </row>
  </sheetData>
  <mergeCells count="1">
    <mergeCell ref="A1:R1"/>
  </mergeCells>
  <dataValidations count="2">
    <dataValidation type="list" allowBlank="1" sqref="E3:E1000">
      <formula1>"出货逾期,物料延期,设计变更,客户暂停,质量问题,资金问题,产能不足,其他"</formula1>
    </dataValidation>
    <dataValidation type="list" allowBlank="1" sqref="F3:F1000">
      <formula1>"紧急,重要,一般"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A1" sqref="A1:E1"/>
    </sheetView>
  </sheetViews>
  <sheetFormatPr defaultColWidth="9" defaultRowHeight="16.8" outlineLevelCol="4"/>
  <cols>
    <col min="1" max="2" width="15" customWidth="1"/>
    <col min="3" max="3" width="12" customWidth="1"/>
    <col min="4" max="4" width="50" customWidth="1"/>
    <col min="5" max="5" width="40" customWidth="1"/>
  </cols>
  <sheetData>
    <row r="1" ht="20.4" spans="1:5">
      <c r="A1" s="1" t="s">
        <v>191</v>
      </c>
    </row>
    <row r="2" ht="17" spans="1:5">
      <c r="A2" s="5" t="s">
        <v>192</v>
      </c>
      <c r="B2" s="5" t="s">
        <v>193</v>
      </c>
      <c r="C2" s="5" t="s">
        <v>194</v>
      </c>
      <c r="D2" s="5" t="s">
        <v>195</v>
      </c>
      <c r="E2" s="5" t="s">
        <v>196</v>
      </c>
    </row>
    <row r="3" ht="17" spans="1:5">
      <c r="A3" s="6" t="s">
        <v>13</v>
      </c>
      <c r="B3" s="6" t="s">
        <v>197</v>
      </c>
      <c r="C3" s="7" t="s">
        <v>198</v>
      </c>
      <c r="D3" s="7" t="s">
        <v>199</v>
      </c>
      <c r="E3" s="7" t="s">
        <v>200</v>
      </c>
    </row>
    <row r="4" ht="17" spans="1:5">
      <c r="A4" s="6" t="s">
        <v>14</v>
      </c>
      <c r="B4" s="6" t="s">
        <v>197</v>
      </c>
      <c r="C4" s="7" t="s">
        <v>198</v>
      </c>
      <c r="D4" s="7" t="s">
        <v>201</v>
      </c>
      <c r="E4" s="7" t="s">
        <v>202</v>
      </c>
    </row>
    <row r="5" ht="34" spans="1:5">
      <c r="A5" s="6" t="s">
        <v>21</v>
      </c>
      <c r="B5" s="6" t="s">
        <v>197</v>
      </c>
      <c r="C5" s="7" t="s">
        <v>198</v>
      </c>
      <c r="D5" s="7" t="s">
        <v>203</v>
      </c>
      <c r="E5" s="7" t="s">
        <v>204</v>
      </c>
    </row>
    <row r="6" ht="34" spans="1:5">
      <c r="A6" s="6" t="s">
        <v>22</v>
      </c>
      <c r="B6" s="6" t="s">
        <v>197</v>
      </c>
      <c r="C6" s="7" t="s">
        <v>198</v>
      </c>
      <c r="D6" s="7" t="s">
        <v>205</v>
      </c>
      <c r="E6" s="7" t="s">
        <v>206</v>
      </c>
    </row>
    <row r="7" ht="34" spans="1:5">
      <c r="A7" s="6" t="s">
        <v>43</v>
      </c>
      <c r="B7" s="6" t="s">
        <v>197</v>
      </c>
      <c r="C7" s="7" t="s">
        <v>198</v>
      </c>
      <c r="D7" s="7" t="s">
        <v>207</v>
      </c>
      <c r="E7" s="7" t="s">
        <v>208</v>
      </c>
    </row>
    <row r="8" ht="17" spans="1:5">
      <c r="A8" s="6" t="s">
        <v>50</v>
      </c>
      <c r="B8" s="6" t="s">
        <v>197</v>
      </c>
      <c r="C8" s="7" t="s">
        <v>198</v>
      </c>
      <c r="D8" s="7" t="s">
        <v>209</v>
      </c>
      <c r="E8" s="7" t="s">
        <v>210</v>
      </c>
    </row>
    <row r="9" ht="17" spans="1:5">
      <c r="A9" s="6" t="s">
        <v>49</v>
      </c>
      <c r="B9" s="6" t="s">
        <v>197</v>
      </c>
      <c r="C9" s="7" t="s">
        <v>198</v>
      </c>
      <c r="D9" s="7" t="s">
        <v>211</v>
      </c>
      <c r="E9" s="7" t="s">
        <v>212</v>
      </c>
    </row>
    <row r="10" ht="34" spans="1:5">
      <c r="A10" s="6" t="s">
        <v>158</v>
      </c>
      <c r="B10" s="6" t="s">
        <v>213</v>
      </c>
      <c r="C10" s="7" t="s">
        <v>198</v>
      </c>
      <c r="D10" s="7" t="s">
        <v>214</v>
      </c>
      <c r="E10" s="7" t="s">
        <v>215</v>
      </c>
    </row>
    <row r="11" ht="17" spans="1:5">
      <c r="A11" s="6" t="s">
        <v>165</v>
      </c>
      <c r="B11" s="6" t="s">
        <v>213</v>
      </c>
      <c r="C11" s="7" t="s">
        <v>198</v>
      </c>
      <c r="D11" s="7" t="s">
        <v>216</v>
      </c>
      <c r="E11" s="7" t="s">
        <v>217</v>
      </c>
    </row>
    <row r="12" ht="34" spans="1:5">
      <c r="A12" s="6" t="s">
        <v>180</v>
      </c>
      <c r="B12" s="6" t="s">
        <v>218</v>
      </c>
      <c r="C12" s="7" t="s">
        <v>198</v>
      </c>
      <c r="D12" s="7" t="s">
        <v>219</v>
      </c>
      <c r="E12" s="7" t="s">
        <v>220</v>
      </c>
    </row>
    <row r="13" ht="17" spans="1:5">
      <c r="A13" s="6" t="s">
        <v>181</v>
      </c>
      <c r="B13" s="6" t="s">
        <v>218</v>
      </c>
      <c r="C13" s="7" t="s">
        <v>198</v>
      </c>
      <c r="D13" s="7" t="s">
        <v>221</v>
      </c>
      <c r="E13" s="7" t="s">
        <v>222</v>
      </c>
    </row>
    <row r="14" ht="34" spans="1:5">
      <c r="A14" s="6" t="s">
        <v>140</v>
      </c>
      <c r="B14" s="6" t="s">
        <v>223</v>
      </c>
      <c r="C14" s="7" t="s">
        <v>198</v>
      </c>
      <c r="D14" s="7" t="s">
        <v>224</v>
      </c>
      <c r="E14" s="7" t="s">
        <v>225</v>
      </c>
    </row>
    <row r="15" ht="34" spans="1:5">
      <c r="A15" s="6" t="s">
        <v>11</v>
      </c>
      <c r="B15" s="6" t="s">
        <v>226</v>
      </c>
      <c r="C15" s="7" t="s">
        <v>227</v>
      </c>
      <c r="D15" s="7" t="s">
        <v>228</v>
      </c>
      <c r="E15" s="7" t="s">
        <v>229</v>
      </c>
    </row>
    <row r="16" ht="17" spans="1:5">
      <c r="A16" s="6" t="s">
        <v>12</v>
      </c>
      <c r="B16" s="6" t="s">
        <v>197</v>
      </c>
      <c r="C16" s="7" t="s">
        <v>227</v>
      </c>
      <c r="D16" s="7" t="s">
        <v>230</v>
      </c>
      <c r="E16" s="7" t="s">
        <v>231</v>
      </c>
    </row>
    <row r="17" ht="17" spans="1:5">
      <c r="A17" s="6" t="s">
        <v>232</v>
      </c>
      <c r="B17" s="6" t="s">
        <v>226</v>
      </c>
      <c r="C17" s="7" t="s">
        <v>232</v>
      </c>
      <c r="D17" s="7" t="s">
        <v>233</v>
      </c>
      <c r="E17" s="7" t="s">
        <v>234</v>
      </c>
    </row>
    <row r="18" ht="17" spans="1:5">
      <c r="A18" s="6" t="s">
        <v>162</v>
      </c>
      <c r="B18" s="6" t="s">
        <v>226</v>
      </c>
      <c r="C18" s="7" t="s">
        <v>235</v>
      </c>
      <c r="D18" s="7" t="s">
        <v>236</v>
      </c>
      <c r="E18" s="7" t="s">
        <v>237</v>
      </c>
    </row>
    <row r="19" ht="17" spans="1:5">
      <c r="A19" s="6" t="s">
        <v>238</v>
      </c>
      <c r="B19" s="6" t="s">
        <v>226</v>
      </c>
      <c r="C19" s="7" t="s">
        <v>235</v>
      </c>
      <c r="D19" s="7" t="s">
        <v>239</v>
      </c>
      <c r="E19" s="7" t="s">
        <v>240</v>
      </c>
    </row>
  </sheetData>
  <mergeCells count="1">
    <mergeCell ref="A1:E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:L1"/>
    </sheetView>
  </sheetViews>
  <sheetFormatPr defaultColWidth="9" defaultRowHeight="16.8"/>
  <sheetData>
    <row r="1" ht="20.4" spans="1:12">
      <c r="A1" s="1" t="s">
        <v>241</v>
      </c>
    </row>
    <row r="3" spans="1:12">
      <c r="A3" s="2" t="s">
        <v>242</v>
      </c>
      <c r="D3" s="2" t="s">
        <v>243</v>
      </c>
    </row>
    <row r="4" ht="34" spans="1:12">
      <c r="A4" s="3" t="s">
        <v>244</v>
      </c>
      <c r="B4" s="3">
        <v>15</v>
      </c>
      <c r="D4" s="4" t="s">
        <v>245</v>
      </c>
      <c r="E4" s="4" t="s">
        <v>246</v>
      </c>
      <c r="F4" s="4" t="s">
        <v>247</v>
      </c>
      <c r="G4" s="4" t="s">
        <v>248</v>
      </c>
      <c r="H4" s="4" t="s">
        <v>249</v>
      </c>
      <c r="I4" s="4" t="s">
        <v>250</v>
      </c>
      <c r="J4" s="4" t="s">
        <v>251</v>
      </c>
      <c r="K4" s="4" t="s">
        <v>252</v>
      </c>
      <c r="L4" s="4" t="s">
        <v>253</v>
      </c>
    </row>
    <row r="5" spans="1:12">
      <c r="A5" s="3" t="s">
        <v>254</v>
      </c>
      <c r="B5" s="3">
        <v>12</v>
      </c>
    </row>
    <row r="6" spans="1:12">
      <c r="A6" s="3" t="s">
        <v>255</v>
      </c>
      <c r="B6" s="3">
        <v>285.5</v>
      </c>
    </row>
    <row r="7" spans="1:12">
      <c r="A7" s="3" t="s">
        <v>256</v>
      </c>
      <c r="B7" s="3">
        <v>198.3</v>
      </c>
    </row>
    <row r="8" spans="1:12">
      <c r="A8" s="3" t="s">
        <v>257</v>
      </c>
      <c r="B8" s="3">
        <v>78.5</v>
      </c>
    </row>
    <row r="9" spans="1:12">
      <c r="A9" s="3" t="s">
        <v>258</v>
      </c>
      <c r="B9" s="3">
        <v>92.3</v>
      </c>
    </row>
    <row r="10" spans="1:12">
      <c r="A10" s="3" t="s">
        <v>259</v>
      </c>
      <c r="B10" s="3">
        <v>48</v>
      </c>
    </row>
    <row r="11" spans="1:12">
      <c r="A11" s="3" t="s">
        <v>139</v>
      </c>
      <c r="B11" s="3">
        <v>5</v>
      </c>
    </row>
    <row r="12" spans="1:12">
      <c r="A12" s="3" t="s">
        <v>260</v>
      </c>
      <c r="B12" s="3">
        <v>25</v>
      </c>
    </row>
  </sheetData>
  <mergeCells count="3">
    <mergeCell ref="A1:L1"/>
    <mergeCell ref="A3:B3"/>
    <mergeCell ref="D3:L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项目主表</vt:lpstr>
      <vt:lpstr>生产进度跟踪</vt:lpstr>
      <vt:lpstr>人员工作量统计</vt:lpstr>
      <vt:lpstr>物料跟踪表</vt:lpstr>
      <vt:lpstr>客户交付看板</vt:lpstr>
      <vt:lpstr>异常项目管理</vt:lpstr>
      <vt:lpstr>数据字典</vt:lpstr>
      <vt:lpstr>月度统计仪表盘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符凌维</cp:lastModifiedBy>
  <dcterms:created xsi:type="dcterms:W3CDTF">2026-01-01T19:29:00Z</dcterms:created>
  <dcterms:modified xsi:type="dcterms:W3CDTF">2026-01-03T01:03:14Z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16BD6D6A356F3D1552FA5769E5AF2749_42</vt:lpwstr>
  </property>
</Properties>
</file>
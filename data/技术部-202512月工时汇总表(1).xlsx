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8800" windowHeight="12165" tabRatio="672" activeTab="2"/>
  </bookViews>
  <sheets>
    <sheet name="12月" sheetId="29" r:id="rId1"/>
    <sheet name="12月-项目工时汇总" sheetId="13" r:id="rId2"/>
    <sheet name="1-黎佩锋" sheetId="22" r:id="rId3"/>
    <sheet name="11-刘志洪" sheetId="26" r:id="rId4"/>
    <sheet name="7-林宇寰" sheetId="14" r:id="rId5"/>
    <sheet name="10-黄佳根" sheetId="24" r:id="rId6"/>
    <sheet name="8-田求发" sheetId="25" r:id="rId7"/>
    <sheet name="2-梁柱" sheetId="21" r:id="rId8"/>
    <sheet name="9-张建卿" sheetId="23" r:id="rId9"/>
    <sheet name="6-唐孝日" sheetId="15" r:id="rId10"/>
    <sheet name="5-陈社海" sheetId="16" r:id="rId11"/>
    <sheet name="4-席程" sheetId="17" r:id="rId12"/>
    <sheet name="3-何永志" sheetId="20" r:id="rId13"/>
    <sheet name="12-王伟超" sheetId="28" r:id="rId14"/>
  </sheets>
  <externalReferences>
    <externalReference r:id="rId15"/>
    <externalReference r:id="rId16"/>
    <externalReference r:id="rId17"/>
  </externalReferences>
  <definedNames>
    <definedName name="IC">#REF!</definedName>
    <definedName name="PCB_PCBA">#REF!</definedName>
    <definedName name="半成品">#REF!</definedName>
    <definedName name="编程器">#REF!</definedName>
    <definedName name="测试仪器">#REF!</definedName>
    <definedName name="测试治具">#REF!</definedName>
    <definedName name="产品">#REF!</definedName>
    <definedName name="产品类别">#REF!</definedName>
    <definedName name="传感器_开关">#REF!</definedName>
    <definedName name="电机">#REF!</definedName>
    <definedName name="电源">#REF!</definedName>
    <definedName name="工控电脑">#REF!</definedName>
    <definedName name="机架_机柜_机箱_机盒">#REF!</definedName>
    <definedName name="继电器_接触器">#REF!</definedName>
    <definedName name="今年工资统计">[1]今年工资统计!$A$1:$R$58</definedName>
    <definedName name="连接器">#REF!</definedName>
    <definedName name="连接线">#REF!</definedName>
    <definedName name="其它半成品">#REF!</definedName>
    <definedName name="其它原材料">#REF!</definedName>
    <definedName name="气动元件">#REF!</definedName>
    <definedName name="去年工资统计">[2]去年工资统计!$A$1:$F$60</definedName>
    <definedName name="数据图像采集_通讯卡">#REF!</definedName>
    <definedName name="五金标准件_加工件">#REF!</definedName>
    <definedName name="原材料">#REF!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29"/>
  <c r="F14"/>
  <c r="C14"/>
  <c r="H14" s="1"/>
  <c r="I14" s="1"/>
  <c r="B14"/>
  <c r="G13"/>
  <c r="F13"/>
  <c r="H13" s="1"/>
  <c r="I13" s="1"/>
  <c r="B13"/>
  <c r="G12"/>
  <c r="H12" s="1"/>
  <c r="I12" s="1"/>
  <c r="F12"/>
  <c r="C12"/>
  <c r="B12"/>
  <c r="H11"/>
  <c r="I11" s="1"/>
  <c r="G11"/>
  <c r="F11"/>
  <c r="E11"/>
  <c r="B11"/>
  <c r="G10"/>
  <c r="F10"/>
  <c r="E10"/>
  <c r="D10"/>
  <c r="I10" s="1"/>
  <c r="C10"/>
  <c r="H10" s="1"/>
  <c r="B10"/>
  <c r="G9"/>
  <c r="F9"/>
  <c r="E9"/>
  <c r="D9"/>
  <c r="I9" s="1"/>
  <c r="C9"/>
  <c r="H9" s="1"/>
  <c r="B9"/>
  <c r="G8"/>
  <c r="F8"/>
  <c r="E8"/>
  <c r="D8"/>
  <c r="I8" s="1"/>
  <c r="C8"/>
  <c r="H8" s="1"/>
  <c r="B8"/>
  <c r="G7"/>
  <c r="F7"/>
  <c r="C7"/>
  <c r="H7" s="1"/>
  <c r="I7" s="1"/>
  <c r="B7"/>
  <c r="I6"/>
  <c r="H6"/>
  <c r="G6"/>
  <c r="F6"/>
  <c r="B6"/>
  <c r="G5"/>
  <c r="F5"/>
  <c r="C5"/>
  <c r="H5" s="1"/>
  <c r="I5" s="1"/>
  <c r="B5"/>
  <c r="G4"/>
  <c r="F4"/>
  <c r="E4"/>
  <c r="D4"/>
  <c r="I4" s="1"/>
  <c r="C4"/>
  <c r="H4" s="1"/>
  <c r="B4"/>
  <c r="G3"/>
  <c r="H3" s="1"/>
  <c r="I3" s="1"/>
  <c r="F3"/>
  <c r="C3"/>
  <c r="B3"/>
</calcChain>
</file>

<file path=xl/sharedStrings.xml><?xml version="1.0" encoding="utf-8"?>
<sst xmlns="http://schemas.openxmlformats.org/spreadsheetml/2006/main" count="445" uniqueCount="134">
  <si>
    <t>序号</t>
  </si>
  <si>
    <t>人员</t>
  </si>
  <si>
    <t>项目号</t>
  </si>
  <si>
    <t>项目名称</t>
  </si>
  <si>
    <t>平时工时（H)</t>
  </si>
  <si>
    <t>出差工时（H)</t>
  </si>
  <si>
    <t>晚上加班工时（H)</t>
  </si>
  <si>
    <t>周末加班工时（H)</t>
  </si>
  <si>
    <t>备注</t>
  </si>
  <si>
    <t>方案</t>
  </si>
  <si>
    <t>设计</t>
  </si>
  <si>
    <t>调试</t>
  </si>
  <si>
    <t>黎佩锋</t>
  </si>
  <si>
    <t>移远SS4.0</t>
  </si>
  <si>
    <t>梁柱</t>
  </si>
  <si>
    <t>PJ250425139</t>
  </si>
  <si>
    <t>RD202501054</t>
  </si>
  <si>
    <t>无功负载的车规级功率模块测试系统</t>
  </si>
  <si>
    <t>PJ241105861</t>
  </si>
  <si>
    <t>贵州振华群英</t>
  </si>
  <si>
    <t>唐孝日</t>
  </si>
  <si>
    <t>林宇寰</t>
  </si>
  <si>
    <t>PJ250327091</t>
  </si>
  <si>
    <t>佛山华数驱控一体测试平台</t>
  </si>
  <si>
    <t>田求发</t>
  </si>
  <si>
    <t>张建卿</t>
  </si>
  <si>
    <t>正常工时</t>
  </si>
  <si>
    <t>出差工时</t>
  </si>
  <si>
    <t>晚上加班工时</t>
  </si>
  <si>
    <t>周末加班工时</t>
  </si>
  <si>
    <t>序号</t>
    <phoneticPr fontId="5" type="noConversion"/>
  </si>
  <si>
    <t>项目号</t>
    <phoneticPr fontId="5" type="noConversion"/>
  </si>
  <si>
    <t>项目名称</t>
    <phoneticPr fontId="5" type="noConversion"/>
  </si>
  <si>
    <t>正常工时</t>
    <phoneticPr fontId="5" type="noConversion"/>
  </si>
  <si>
    <t>出差工时</t>
    <phoneticPr fontId="5" type="noConversion"/>
  </si>
  <si>
    <t>晚上加班工时</t>
    <phoneticPr fontId="5" type="noConversion"/>
  </si>
  <si>
    <t>周末加班工时</t>
    <phoneticPr fontId="5" type="noConversion"/>
  </si>
  <si>
    <t xml:space="preserve">  无功负载的车规级功率模块测试系统</t>
  </si>
  <si>
    <t>PJ250814327-PN008</t>
  </si>
  <si>
    <t>越南BMS-DIP整线测试产线</t>
  </si>
  <si>
    <t>1</t>
  </si>
  <si>
    <t>PJ250811323</t>
  </si>
  <si>
    <t>杉川机器人减速机老化设备</t>
  </si>
  <si>
    <t>2</t>
  </si>
  <si>
    <t>液位传感器自动组装包装线</t>
  </si>
  <si>
    <t>PJ250707257</t>
    <phoneticPr fontId="5" type="noConversion"/>
  </si>
  <si>
    <t>PJ250707257-PN001</t>
  </si>
  <si>
    <t>陈社海</t>
    <phoneticPr fontId="5" type="noConversion"/>
  </si>
  <si>
    <t>PJ250718277</t>
  </si>
  <si>
    <t>麦克维尔B1改造线</t>
  </si>
  <si>
    <t>刘志洪</t>
    <phoneticPr fontId="5" type="noConversion"/>
  </si>
  <si>
    <t>王伟超</t>
    <phoneticPr fontId="5" type="noConversion"/>
  </si>
  <si>
    <t>PJ251009413</t>
  </si>
  <si>
    <t>黄岛水生态 (三条线体)</t>
  </si>
  <si>
    <t>席程</t>
    <phoneticPr fontId="5" type="noConversion"/>
  </si>
  <si>
    <t>何永志</t>
    <phoneticPr fontId="5" type="noConversion"/>
  </si>
  <si>
    <t>技术开发部人员</t>
  </si>
  <si>
    <t>汇总工时</t>
  </si>
  <si>
    <t>出差加班工时</t>
  </si>
  <si>
    <t>加班工时</t>
  </si>
  <si>
    <t>假期工时</t>
  </si>
  <si>
    <t>小计</t>
  </si>
  <si>
    <t>出差工时占比</t>
  </si>
  <si>
    <t>席程</t>
  </si>
  <si>
    <t>何永志</t>
  </si>
  <si>
    <t>陈社海</t>
  </si>
  <si>
    <t>黄佳根</t>
  </si>
  <si>
    <t>刘志洪</t>
  </si>
  <si>
    <t>王伟超</t>
  </si>
  <si>
    <t>11月工时</t>
  </si>
  <si>
    <t>PJ250804307</t>
  </si>
  <si>
    <t>电计贸易（上海）有限公司_德赛西威FCT&amp;EOL测试设备</t>
  </si>
  <si>
    <t>PJ250630243</t>
  </si>
  <si>
    <t>鼎新空调老化设备</t>
  </si>
  <si>
    <t>梁柱_2025_12月份-工时统计表（单位：H）</t>
    <phoneticPr fontId="5" type="noConversion"/>
  </si>
  <si>
    <t>PJ250804307</t>
    <phoneticPr fontId="5" type="noConversion"/>
  </si>
  <si>
    <t>PJ251009414</t>
    <phoneticPr fontId="5" type="noConversion"/>
  </si>
  <si>
    <t>PJ241105861</t>
    <phoneticPr fontId="5" type="noConversion"/>
  </si>
  <si>
    <t>PJ251117483</t>
    <phoneticPr fontId="5" type="noConversion"/>
  </si>
  <si>
    <t>RD202501054</t>
    <phoneticPr fontId="5" type="noConversion"/>
  </si>
  <si>
    <t>德赛西威控制板-轮速功能</t>
    <phoneticPr fontId="5" type="noConversion"/>
  </si>
  <si>
    <t>MFOP通讯板开发</t>
    <phoneticPr fontId="5" type="noConversion"/>
  </si>
  <si>
    <t>振华群英老炼设备</t>
    <phoneticPr fontId="5" type="noConversion"/>
  </si>
  <si>
    <t>香氛瓶烧录测试设备</t>
    <phoneticPr fontId="5" type="noConversion"/>
  </si>
  <si>
    <t>KC9001S 机箱板卡开发</t>
    <phoneticPr fontId="5" type="noConversion"/>
  </si>
  <si>
    <t>序号</t>
    <phoneticPr fontId="5" type="noConversion"/>
  </si>
  <si>
    <t>项目号</t>
    <phoneticPr fontId="5" type="noConversion"/>
  </si>
  <si>
    <t>项目名称</t>
    <phoneticPr fontId="5" type="noConversion"/>
  </si>
  <si>
    <t>正常工时</t>
    <phoneticPr fontId="5" type="noConversion"/>
  </si>
  <si>
    <t>晚上加班工时</t>
    <phoneticPr fontId="5" type="noConversion"/>
  </si>
  <si>
    <t>周末加班工时</t>
    <phoneticPr fontId="5" type="noConversion"/>
  </si>
  <si>
    <t>上海移远车机测试线体调试</t>
    <phoneticPr fontId="5" type="noConversion"/>
  </si>
  <si>
    <t>PJ251216521</t>
    <phoneticPr fontId="5" type="noConversion"/>
  </si>
  <si>
    <t>中山清匠遥控器制作电路图，产品验证</t>
    <phoneticPr fontId="5" type="noConversion"/>
  </si>
  <si>
    <t>唐孝日_12_月份-工时统计表（单位：H）</t>
    <phoneticPr fontId="5" type="noConversion"/>
  </si>
  <si>
    <t>唐孝日</t>
    <phoneticPr fontId="5" type="noConversion"/>
  </si>
  <si>
    <t>PJ251031453</t>
  </si>
  <si>
    <t>合肥美的成品测试设备</t>
  </si>
  <si>
    <t>PJ250402103-PN001</t>
  </si>
  <si>
    <t>重庆卡奥斯BMS设备</t>
  </si>
  <si>
    <t>田求发</t>
    <phoneticPr fontId="5" type="noConversion"/>
  </si>
  <si>
    <t>KC9001S 老化/测试系统开发</t>
    <phoneticPr fontId="5" type="noConversion"/>
  </si>
  <si>
    <t>黄佳根</t>
    <phoneticPr fontId="5" type="noConversion"/>
  </si>
  <si>
    <t>黄佳根</t>
    <phoneticPr fontId="5" type="noConversion"/>
  </si>
  <si>
    <t>王伟超_2025_12月份-工时统计表（单位：H）</t>
  </si>
  <si>
    <t>群英老化项目</t>
  </si>
  <si>
    <t>麦克维尔</t>
  </si>
  <si>
    <t>张建卿</t>
    <phoneticPr fontId="5" type="noConversion"/>
  </si>
  <si>
    <t>PJ241105861</t>
    <phoneticPr fontId="5" type="noConversion"/>
  </si>
  <si>
    <t>PJ251009413</t>
    <phoneticPr fontId="5" type="noConversion"/>
  </si>
  <si>
    <t>水生态（UV&amp;装载）</t>
    <phoneticPr fontId="5" type="noConversion"/>
  </si>
  <si>
    <t>PJ250917393</t>
    <phoneticPr fontId="5" type="noConversion"/>
  </si>
  <si>
    <t>九信角度标定</t>
    <phoneticPr fontId="5" type="noConversion"/>
  </si>
  <si>
    <t>PJ250818335</t>
    <phoneticPr fontId="5" type="noConversion"/>
  </si>
  <si>
    <t>飞耀视觉检测</t>
    <phoneticPr fontId="5" type="noConversion"/>
  </si>
  <si>
    <t>水生态MFOP&amp;双85实验室测试设备</t>
    <phoneticPr fontId="5" type="noConversion"/>
  </si>
  <si>
    <t>何永志</t>
    <phoneticPr fontId="5" type="noConversion"/>
  </si>
  <si>
    <t>何永志</t>
    <phoneticPr fontId="5" type="noConversion"/>
  </si>
  <si>
    <t>PJ250718275-PN002</t>
    <phoneticPr fontId="5" type="noConversion"/>
  </si>
  <si>
    <t>英特丽-充电桩老化</t>
    <phoneticPr fontId="5" type="noConversion"/>
  </si>
  <si>
    <t>PJ250402103</t>
    <phoneticPr fontId="5" type="noConversion"/>
  </si>
  <si>
    <t>BMS离线测试设备</t>
    <phoneticPr fontId="5" type="noConversion"/>
  </si>
  <si>
    <t>PJ250219031</t>
    <phoneticPr fontId="5" type="noConversion"/>
  </si>
  <si>
    <t>浙江宇视BMS设备</t>
    <phoneticPr fontId="5" type="noConversion"/>
  </si>
  <si>
    <t>黎佩锋</t>
    <phoneticPr fontId="5" type="noConversion"/>
  </si>
  <si>
    <t>何永志_12_月份-工时统计表（单位：H）</t>
    <phoneticPr fontId="5" type="noConversion"/>
  </si>
  <si>
    <t>席程_12_月份-工时统计表（单位：H）</t>
    <phoneticPr fontId="5" type="noConversion"/>
  </si>
  <si>
    <t>陈社海_12_月份-工时统计表（单位：H）</t>
    <phoneticPr fontId="5" type="noConversion"/>
  </si>
  <si>
    <t>张建卿_12_月份-工时统计表（单位：H）</t>
    <phoneticPr fontId="5" type="noConversion"/>
  </si>
  <si>
    <t>田求发_12_月份-工时统计表（单位：H）</t>
    <phoneticPr fontId="5" type="noConversion"/>
  </si>
  <si>
    <t>黄佳根_12_月份-工时统计表（单位：H）</t>
    <phoneticPr fontId="9" type="noConversion"/>
  </si>
  <si>
    <t>林宇寰_12_月份-工时统计表（单位：H）</t>
    <phoneticPr fontId="5" type="noConversion"/>
  </si>
  <si>
    <t>刘志洪_12_月份-工时统计表（单位：H）</t>
    <phoneticPr fontId="5" type="noConversion"/>
  </si>
  <si>
    <t>黎佩锋_12_月份-工时统计表（单位：H）</t>
    <phoneticPr fontId="5" type="noConversion"/>
  </si>
</sst>
</file>

<file path=xl/styles.xml><?xml version="1.0" encoding="utf-8"?>
<styleSheet xmlns="http://schemas.openxmlformats.org/spreadsheetml/2006/main">
  <numFmts count="4">
    <numFmt numFmtId="176" formatCode="[$-F800]dddd\,\ mmmm\ dd\,\ yyyy"/>
    <numFmt numFmtId="177" formatCode="[$￥-804]#,##0.00;[Red][$￥-804]\-#,##0.00"/>
    <numFmt numFmtId="178" formatCode="#,##0.00_ "/>
    <numFmt numFmtId="179" formatCode="0.00_ "/>
  </numFmts>
  <fonts count="26">
    <font>
      <sz val="12"/>
      <name val="宋体"/>
      <charset val="134"/>
    </font>
    <font>
      <b/>
      <sz val="16"/>
      <name val="宋体"/>
      <family val="3"/>
      <charset val="134"/>
    </font>
    <font>
      <b/>
      <sz val="12"/>
      <name val="宋体"/>
      <family val="3"/>
      <charset val="134"/>
    </font>
    <font>
      <sz val="7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7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6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b/>
      <sz val="7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1" tint="4.9989318521683403E-2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theme="1" tint="4.9989318521683403E-2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theme="1" tint="4.9989318521683403E-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theme="1" tint="4.9989318521683403E-2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theme="1" tint="4.9989318521683403E-2"/>
      </left>
      <right style="thin">
        <color auto="1"/>
      </right>
      <top style="thin">
        <color auto="1"/>
      </top>
      <bottom style="medium">
        <color theme="1" tint="4.9989318521683403E-2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1" tint="4.9989318521683403E-2"/>
      </left>
      <right style="thick">
        <color theme="1" tint="4.9989318521683403E-2"/>
      </right>
      <top style="thick">
        <color theme="1" tint="4.9989318521683403E-2"/>
      </top>
      <bottom/>
      <diagonal/>
    </border>
    <border>
      <left style="thick">
        <color theme="1" tint="4.9989318521683403E-2"/>
      </left>
      <right style="thin">
        <color theme="1" tint="4.9989318521683403E-2"/>
      </right>
      <top style="thick">
        <color theme="1" tint="4.9989318521683403E-2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ck">
        <color theme="1" tint="4.9989318521683403E-2"/>
      </left>
      <right style="thick">
        <color theme="1" tint="4.9989318521683403E-2"/>
      </right>
      <top style="thick">
        <color theme="1" tint="4.9989318521683403E-2"/>
      </top>
      <bottom style="thick">
        <color theme="1" tint="4.9989318521683403E-2"/>
      </bottom>
      <diagonal/>
    </border>
    <border>
      <left style="thick">
        <color theme="1" tint="4.9989318521683403E-2"/>
      </left>
      <right style="thin">
        <color theme="1" tint="4.9989318521683403E-2"/>
      </right>
      <top style="thick">
        <color theme="1" tint="4.9989318521683403E-2"/>
      </top>
      <bottom style="thick">
        <color theme="1" tint="4.9989318521683403E-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1" tint="4.9989318521683403E-2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theme="1" tint="4.9989318521683403E-2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theme="1" tint="4.9989318521683403E-2"/>
      </right>
      <top/>
      <bottom style="thin">
        <color auto="1"/>
      </bottom>
      <diagonal/>
    </border>
    <border>
      <left style="thin">
        <color auto="1"/>
      </left>
      <right style="medium">
        <color theme="1" tint="4.9989318521683403E-2"/>
      </right>
      <top style="thin">
        <color theme="1" tint="4.9989318521683403E-2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1" tint="4.9989318521683403E-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 tint="4.9989318521683403E-2"/>
      </bottom>
      <diagonal/>
    </border>
    <border>
      <left style="thin">
        <color indexed="64"/>
      </left>
      <right/>
      <top style="thin">
        <color indexed="64"/>
      </top>
      <bottom style="medium">
        <color theme="1" tint="4.9989318521683403E-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8"/>
      </bottom>
      <diagonal/>
    </border>
    <border>
      <left/>
      <right style="thin">
        <color indexed="64"/>
      </right>
      <top style="thin">
        <color indexed="64"/>
      </top>
      <bottom style="medium">
        <color theme="1" tint="4.9989318521683403E-2"/>
      </bottom>
      <diagonal/>
    </border>
    <border>
      <left style="thin">
        <color indexed="64"/>
      </left>
      <right style="medium">
        <color theme="1" tint="4.9989318521683403E-2"/>
      </right>
      <top style="thin">
        <color indexed="64"/>
      </top>
      <bottom style="medium">
        <color theme="1" tint="4.9989318521683403E-2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theme="1" tint="4.9989318521683403E-2"/>
      </right>
      <top style="medium">
        <color indexed="64"/>
      </top>
      <bottom/>
      <diagonal/>
    </border>
    <border>
      <left/>
      <right style="medium">
        <color theme="1" tint="4.9989318521683403E-2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theme="1" tint="4.9989318521683403E-2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8">
    <xf numFmtId="0" fontId="0" fillId="0" borderId="0">
      <alignment vertical="center"/>
    </xf>
    <xf numFmtId="0" fontId="4" fillId="0" borderId="0">
      <alignment vertical="center"/>
    </xf>
    <xf numFmtId="0" fontId="13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77" fontId="13" fillId="0" borderId="0">
      <alignment vertical="center"/>
    </xf>
    <xf numFmtId="0" fontId="14" fillId="0" borderId="0">
      <alignment vertical="center"/>
    </xf>
  </cellStyleXfs>
  <cellXfs count="27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1" xfId="0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1" xfId="0" applyFont="1" applyBorder="1">
      <alignment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>
      <alignment vertical="center"/>
    </xf>
    <xf numFmtId="0" fontId="0" fillId="0" borderId="4" xfId="0" applyFont="1" applyBorder="1" applyAlignment="1">
      <alignment horizontal="center" vertical="center"/>
    </xf>
    <xf numFmtId="0" fontId="0" fillId="0" borderId="3" xfId="0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0" borderId="19" xfId="0" applyBorder="1">
      <alignment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4" fillId="0" borderId="0" xfId="1">
      <alignment vertical="center"/>
    </xf>
    <xf numFmtId="0" fontId="8" fillId="0" borderId="0" xfId="0" applyFont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10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vertical="center"/>
    </xf>
    <xf numFmtId="0" fontId="8" fillId="0" borderId="38" xfId="0" applyFont="1" applyBorder="1" applyAlignment="1">
      <alignment vertical="center"/>
    </xf>
    <xf numFmtId="0" fontId="8" fillId="0" borderId="39" xfId="0" applyFont="1" applyBorder="1" applyAlignment="1">
      <alignment vertical="center"/>
    </xf>
    <xf numFmtId="0" fontId="8" fillId="0" borderId="40" xfId="0" applyFont="1" applyBorder="1" applyAlignment="1">
      <alignment vertical="center"/>
    </xf>
    <xf numFmtId="0" fontId="8" fillId="0" borderId="35" xfId="0" applyFont="1" applyBorder="1" applyAlignment="1">
      <alignment vertical="center"/>
    </xf>
    <xf numFmtId="0" fontId="8" fillId="0" borderId="41" xfId="0" applyFont="1" applyBorder="1" applyAlignment="1">
      <alignment vertical="center"/>
    </xf>
    <xf numFmtId="49" fontId="0" fillId="0" borderId="1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176" fontId="0" fillId="0" borderId="0" xfId="0" applyNumberFormat="1">
      <alignment vertical="center"/>
    </xf>
    <xf numFmtId="0" fontId="6" fillId="0" borderId="1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5" fillId="0" borderId="12" xfId="0" applyFont="1" applyBorder="1">
      <alignment vertical="center"/>
    </xf>
    <xf numFmtId="0" fontId="5" fillId="0" borderId="18" xfId="0" applyFont="1" applyBorder="1">
      <alignment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19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0" xfId="0" applyBorder="1">
      <alignment vertical="center"/>
    </xf>
    <xf numFmtId="0" fontId="0" fillId="0" borderId="35" xfId="0" applyBorder="1">
      <alignment vertical="center"/>
    </xf>
    <xf numFmtId="0" fontId="0" fillId="0" borderId="41" xfId="0" applyBorder="1">
      <alignment vertical="center"/>
    </xf>
    <xf numFmtId="0" fontId="8" fillId="0" borderId="1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/>
    </xf>
    <xf numFmtId="0" fontId="8" fillId="0" borderId="10" xfId="0" applyFont="1" applyFill="1" applyBorder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vertical="top"/>
    </xf>
    <xf numFmtId="0" fontId="0" fillId="0" borderId="11" xfId="0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vertical="center"/>
    </xf>
    <xf numFmtId="0" fontId="8" fillId="0" borderId="18" xfId="0" applyFont="1" applyFill="1" applyBorder="1" applyAlignment="1">
      <alignment horizontal="center" vertical="center"/>
    </xf>
    <xf numFmtId="0" fontId="8" fillId="0" borderId="49" xfId="0" applyFont="1" applyFill="1" applyBorder="1" applyAlignment="1">
      <alignment horizontal="center" vertical="center"/>
    </xf>
    <xf numFmtId="0" fontId="8" fillId="0" borderId="49" xfId="0" applyFont="1" applyFill="1" applyBorder="1" applyAlignment="1">
      <alignment vertical="center"/>
    </xf>
    <xf numFmtId="0" fontId="8" fillId="0" borderId="19" xfId="0" applyFont="1" applyFill="1" applyBorder="1" applyAlignment="1">
      <alignment vertical="center"/>
    </xf>
    <xf numFmtId="0" fontId="11" fillId="0" borderId="6" xfId="2" applyFont="1" applyFill="1" applyBorder="1" applyAlignment="1">
      <alignment horizontal="center" vertical="center"/>
    </xf>
    <xf numFmtId="0" fontId="11" fillId="0" borderId="1" xfId="2" applyFont="1" applyFill="1" applyBorder="1" applyAlignment="1">
      <alignment horizontal="center" vertical="center"/>
    </xf>
    <xf numFmtId="0" fontId="11" fillId="0" borderId="1" xfId="2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vertical="top" wrapText="1"/>
    </xf>
    <xf numFmtId="0" fontId="15" fillId="0" borderId="1" xfId="0" applyFont="1" applyBorder="1" applyAlignment="1">
      <alignment horizontal="center" vertical="center"/>
    </xf>
    <xf numFmtId="0" fontId="0" fillId="0" borderId="11" xfId="0" applyBorder="1" applyAlignment="1"/>
    <xf numFmtId="0" fontId="0" fillId="0" borderId="11" xfId="0" applyNumberFormat="1" applyBorder="1" applyAlignment="1">
      <alignment horizontal="center"/>
    </xf>
    <xf numFmtId="0" fontId="0" fillId="0" borderId="1" xfId="0" applyFont="1" applyBorder="1" applyAlignment="1">
      <alignment vertical="top"/>
    </xf>
    <xf numFmtId="0" fontId="0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2" fillId="0" borderId="4" xfId="0" applyFont="1" applyBorder="1">
      <alignment vertical="center"/>
    </xf>
    <xf numFmtId="0" fontId="12" fillId="0" borderId="1" xfId="0" applyFont="1" applyBorder="1">
      <alignment vertical="center"/>
    </xf>
    <xf numFmtId="0" fontId="12" fillId="0" borderId="3" xfId="0" applyFont="1" applyBorder="1">
      <alignment vertical="center"/>
    </xf>
    <xf numFmtId="0" fontId="12" fillId="0" borderId="1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9" xfId="0" applyFont="1" applyFill="1" applyBorder="1">
      <alignment vertical="center"/>
    </xf>
    <xf numFmtId="0" fontId="5" fillId="0" borderId="50" xfId="0" applyFont="1" applyFill="1" applyBorder="1" applyAlignment="1">
      <alignment horizontal="center" vertical="center"/>
    </xf>
    <xf numFmtId="0" fontId="5" fillId="0" borderId="51" xfId="0" applyFont="1" applyBorder="1">
      <alignment vertical="center"/>
    </xf>
    <xf numFmtId="0" fontId="5" fillId="0" borderId="48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8" xfId="0" applyBorder="1">
      <alignment vertical="center"/>
    </xf>
    <xf numFmtId="0" fontId="0" fillId="0" borderId="49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0" fillId="0" borderId="1" xfId="0" applyNumberFormat="1" applyFont="1" applyFill="1" applyBorder="1" applyAlignment="1" applyProtection="1">
      <alignment horizontal="center" vertical="center"/>
    </xf>
    <xf numFmtId="178" fontId="20" fillId="2" borderId="1" xfId="0" applyNumberFormat="1" applyFont="1" applyFill="1" applyBorder="1" applyAlignment="1">
      <alignment horizontal="center" vertical="center"/>
    </xf>
    <xf numFmtId="179" fontId="20" fillId="0" borderId="1" xfId="0" applyNumberFormat="1" applyFont="1" applyBorder="1" applyAlignment="1">
      <alignment horizontal="center" vertical="center"/>
    </xf>
    <xf numFmtId="179" fontId="20" fillId="0" borderId="1" xfId="0" applyNumberFormat="1" applyFont="1" applyFill="1" applyBorder="1" applyAlignment="1" applyProtection="1">
      <alignment horizontal="center" vertical="center"/>
    </xf>
    <xf numFmtId="0" fontId="20" fillId="0" borderId="1" xfId="0" applyNumberFormat="1" applyFont="1" applyFill="1" applyBorder="1" applyAlignment="1" applyProtection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179" fontId="21" fillId="0" borderId="1" xfId="0" applyNumberFormat="1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8" fillId="0" borderId="53" xfId="0" applyFont="1" applyBorder="1" applyAlignment="1">
      <alignment horizontal="center" vertical="center"/>
    </xf>
    <xf numFmtId="0" fontId="0" fillId="0" borderId="53" xfId="0" applyBorder="1">
      <alignment vertical="center"/>
    </xf>
    <xf numFmtId="0" fontId="0" fillId="0" borderId="54" xfId="0" applyBorder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3" fillId="0" borderId="1" xfId="0" applyFont="1" applyBorder="1" applyAlignment="1"/>
    <xf numFmtId="0" fontId="19" fillId="0" borderId="4" xfId="0" applyNumberFormat="1" applyFont="1" applyFill="1" applyBorder="1" applyAlignment="1">
      <alignment horizontal="center" vertical="center"/>
    </xf>
    <xf numFmtId="0" fontId="19" fillId="0" borderId="1" xfId="0" applyNumberFormat="1" applyFont="1" applyFill="1" applyBorder="1" applyAlignment="1">
      <alignment horizontal="center" vertical="center"/>
    </xf>
    <xf numFmtId="0" fontId="19" fillId="0" borderId="11" xfId="0" applyNumberFormat="1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/>
    </xf>
    <xf numFmtId="0" fontId="23" fillId="0" borderId="11" xfId="0" applyFont="1" applyBorder="1" applyAlignment="1"/>
    <xf numFmtId="0" fontId="19" fillId="0" borderId="3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vertical="center"/>
    </xf>
    <xf numFmtId="0" fontId="23" fillId="0" borderId="1" xfId="0" applyFont="1" applyBorder="1" applyAlignment="1">
      <alignment horizontal="center"/>
    </xf>
    <xf numFmtId="0" fontId="19" fillId="0" borderId="6" xfId="0" applyFont="1" applyBorder="1" applyAlignment="1">
      <alignment horizontal="center" vertical="center"/>
    </xf>
    <xf numFmtId="0" fontId="19" fillId="0" borderId="1" xfId="0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0" fontId="19" fillId="0" borderId="12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/>
    </xf>
    <xf numFmtId="0" fontId="19" fillId="0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4" fillId="0" borderId="1" xfId="0" applyFont="1" applyFill="1" applyBorder="1" applyAlignment="1">
      <alignment horizontal="center" vertical="center"/>
    </xf>
    <xf numFmtId="0" fontId="0" fillId="0" borderId="55" xfId="0" applyFill="1" applyBorder="1" applyAlignment="1">
      <alignment horizontal="center" vertical="center"/>
    </xf>
    <xf numFmtId="0" fontId="0" fillId="0" borderId="56" xfId="0" applyBorder="1">
      <alignment vertical="center"/>
    </xf>
    <xf numFmtId="0" fontId="18" fillId="0" borderId="2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8" fillId="0" borderId="1" xfId="0" applyFont="1" applyBorder="1">
      <alignment vertical="center"/>
    </xf>
    <xf numFmtId="0" fontId="8" fillId="0" borderId="4" xfId="0" applyFont="1" applyBorder="1">
      <alignment vertical="center"/>
    </xf>
    <xf numFmtId="0" fontId="8" fillId="0" borderId="3" xfId="0" applyFont="1" applyBorder="1">
      <alignment vertical="center"/>
    </xf>
    <xf numFmtId="0" fontId="0" fillId="0" borderId="1" xfId="0" applyFont="1" applyFill="1" applyBorder="1" applyAlignment="1">
      <alignment horizontal="center" vertical="top"/>
    </xf>
    <xf numFmtId="0" fontId="0" fillId="0" borderId="4" xfId="0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5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5" fillId="0" borderId="58" xfId="0" applyFont="1" applyFill="1" applyBorder="1">
      <alignment vertical="center"/>
    </xf>
    <xf numFmtId="0" fontId="6" fillId="0" borderId="12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vertical="center"/>
    </xf>
    <xf numFmtId="176" fontId="7" fillId="0" borderId="11" xfId="0" applyNumberFormat="1" applyFont="1" applyFill="1" applyBorder="1" applyAlignment="1">
      <alignment vertical="center"/>
    </xf>
    <xf numFmtId="0" fontId="7" fillId="0" borderId="11" xfId="0" applyFont="1" applyFill="1" applyBorder="1" applyAlignment="1">
      <alignment vertical="center"/>
    </xf>
    <xf numFmtId="0" fontId="0" fillId="0" borderId="49" xfId="0" applyBorder="1" applyAlignment="1">
      <alignment horizontal="center" vertical="center"/>
    </xf>
    <xf numFmtId="0" fontId="10" fillId="0" borderId="56" xfId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78" fontId="15" fillId="2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49" fontId="6" fillId="0" borderId="16" xfId="0" applyNumberFormat="1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/>
    </xf>
    <xf numFmtId="0" fontId="2" fillId="0" borderId="45" xfId="0" applyFont="1" applyFill="1" applyBorder="1" applyAlignment="1">
      <alignment horizontal="center" vertical="center"/>
    </xf>
    <xf numFmtId="0" fontId="2" fillId="0" borderId="46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47" xfId="0" applyFont="1" applyFill="1" applyBorder="1" applyAlignment="1">
      <alignment horizontal="center" vertical="center"/>
    </xf>
    <xf numFmtId="0" fontId="2" fillId="0" borderId="17" xfId="0" applyFont="1" applyFill="1" applyBorder="1" applyAlignment="1">
      <alignment horizontal="center" vertical="center"/>
    </xf>
    <xf numFmtId="0" fontId="2" fillId="0" borderId="42" xfId="0" applyFont="1" applyFill="1" applyBorder="1" applyAlignment="1">
      <alignment horizontal="center" vertical="center"/>
    </xf>
    <xf numFmtId="0" fontId="2" fillId="0" borderId="48" xfId="0" applyFont="1" applyFill="1" applyBorder="1" applyAlignment="1">
      <alignment horizontal="center" vertical="center"/>
    </xf>
    <xf numFmtId="0" fontId="2" fillId="0" borderId="43" xfId="0" applyFont="1" applyFill="1" applyBorder="1" applyAlignment="1">
      <alignment horizontal="center" vertical="center"/>
    </xf>
    <xf numFmtId="0" fontId="2" fillId="0" borderId="44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</cellXfs>
  <cellStyles count="8">
    <cellStyle name="常规" xfId="0" builtinId="0"/>
    <cellStyle name="常规 2" xfId="1"/>
    <cellStyle name="常规 23" xfId="3"/>
    <cellStyle name="常规 25" xfId="4"/>
    <cellStyle name="常规 3" xfId="2"/>
    <cellStyle name="常规 4" xfId="5"/>
    <cellStyle name="常规 7" xfId="6"/>
    <cellStyle name="常规 8" xfId="7"/>
  </cellStyles>
  <dxfs count="0"/>
  <tableStyles count="0" defaultTableStyle="TableStyleMedium2"/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ZY\ATE\&#34218;&#37228;&#19982;&#32489;&#25928;\&#32489;&#25928;&#32771;&#26680;\2017&#24180;&#32489;&#25928;&#26680;&#3163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_KCATE_DATA\&#20844;&#21496;&#36164;&#26009;\G&#31649;&#29702;&#36164;&#26009;\&#20154;&#20107;\2017&#24180;&#32489;&#25928;\2017&#24180;&#32489;&#25928;&#26680;&#31639;2-11(&#26356;&#25913;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Qiantai\Documents\WXWork\1688857062416825\Cache\File\2026-01\ATE-25&#24180;12&#26376;&#32771;&#21220;&#39184;&#3491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职员表"/>
      <sheetName val="去年工资统计"/>
      <sheetName val="今年工资统计"/>
      <sheetName val="业务核算16"/>
      <sheetName val="出勤"/>
      <sheetName val="绩效核算16"/>
      <sheetName val="绩效权重"/>
      <sheetName val="汇总表"/>
      <sheetName val="绩效外账(已发)"/>
      <sheetName val="绩效内账(已发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职员表"/>
      <sheetName val="去年工资统计"/>
      <sheetName val="今年工资统计"/>
      <sheetName val="业务核算16"/>
      <sheetName val="出勤"/>
      <sheetName val="绩效核算16"/>
      <sheetName val="绩效权重"/>
      <sheetName val="汇总表"/>
      <sheetName val="zrc1"/>
      <sheetName val="郑汝才"/>
      <sheetName val="绩效发放表"/>
      <sheetName val="绩效外账(已发)"/>
      <sheetName val="绩效内账(已发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考勤"/>
    </sheetNames>
    <sheetDataSet>
      <sheetData sheetId="0" refreshError="1">
        <row r="79">
          <cell r="B79" t="str">
            <v>唐孝日</v>
          </cell>
          <cell r="C79" t="str">
            <v>工程技术中心-技术开发部</v>
          </cell>
          <cell r="D79">
            <v>43430</v>
          </cell>
          <cell r="E79">
            <v>7</v>
          </cell>
          <cell r="F79" t="str">
            <v>深圳</v>
          </cell>
          <cell r="G79">
            <v>100</v>
          </cell>
          <cell r="H79">
            <v>15</v>
          </cell>
          <cell r="J79">
            <v>5</v>
          </cell>
          <cell r="N79" t="str">
            <v>缺卡4次</v>
          </cell>
          <cell r="O79">
            <v>2.09</v>
          </cell>
          <cell r="Q79">
            <v>1.18</v>
          </cell>
          <cell r="R79">
            <v>18.5</v>
          </cell>
          <cell r="S79">
            <v>28.5</v>
          </cell>
          <cell r="T79">
            <v>184</v>
          </cell>
          <cell r="U79">
            <v>47</v>
          </cell>
          <cell r="V79">
            <v>9.44</v>
          </cell>
          <cell r="W79">
            <v>221.56</v>
          </cell>
        </row>
        <row r="80">
          <cell r="B80" t="str">
            <v>席程</v>
          </cell>
          <cell r="C80" t="str">
            <v>工程技术中心-技术开发部</v>
          </cell>
          <cell r="D80">
            <v>45121</v>
          </cell>
          <cell r="E80">
            <v>2</v>
          </cell>
          <cell r="F80" t="str">
            <v>深圳</v>
          </cell>
          <cell r="G80">
            <v>340</v>
          </cell>
          <cell r="J80">
            <v>17</v>
          </cell>
          <cell r="K80">
            <v>100</v>
          </cell>
          <cell r="L80">
            <v>100</v>
          </cell>
          <cell r="O80">
            <v>3.84</v>
          </cell>
          <cell r="Q80">
            <v>0.125</v>
          </cell>
          <cell r="R80">
            <v>61.5</v>
          </cell>
          <cell r="S80">
            <v>21</v>
          </cell>
          <cell r="T80">
            <v>184</v>
          </cell>
          <cell r="U80">
            <v>82.5</v>
          </cell>
          <cell r="V80">
            <v>1</v>
          </cell>
          <cell r="W80">
            <v>265.5</v>
          </cell>
        </row>
        <row r="81">
          <cell r="B81" t="str">
            <v>梁柱</v>
          </cell>
          <cell r="C81" t="str">
            <v>工程技术中心-技术开发部</v>
          </cell>
          <cell r="D81">
            <v>44293</v>
          </cell>
          <cell r="E81">
            <v>4</v>
          </cell>
          <cell r="F81" t="str">
            <v>深圳</v>
          </cell>
          <cell r="G81">
            <v>0</v>
          </cell>
          <cell r="T81">
            <v>184</v>
          </cell>
          <cell r="U81">
            <v>0</v>
          </cell>
          <cell r="V81">
            <v>0</v>
          </cell>
          <cell r="W81">
            <v>184</v>
          </cell>
        </row>
        <row r="82">
          <cell r="B82" t="str">
            <v>黎佩锋</v>
          </cell>
          <cell r="C82" t="str">
            <v>工程技术中心-技术开发部</v>
          </cell>
          <cell r="D82">
            <v>44259</v>
          </cell>
          <cell r="E82">
            <v>4</v>
          </cell>
          <cell r="F82" t="str">
            <v>深圳</v>
          </cell>
          <cell r="G82">
            <v>0</v>
          </cell>
          <cell r="T82">
            <v>184</v>
          </cell>
          <cell r="U82">
            <v>0</v>
          </cell>
          <cell r="V82">
            <v>0</v>
          </cell>
          <cell r="W82">
            <v>184</v>
          </cell>
        </row>
        <row r="83">
          <cell r="B83" t="str">
            <v>何永志</v>
          </cell>
          <cell r="C83" t="str">
            <v>工程技术中心-技术开发部</v>
          </cell>
          <cell r="D83">
            <v>44900</v>
          </cell>
          <cell r="E83">
            <v>3</v>
          </cell>
          <cell r="F83" t="str">
            <v>深圳</v>
          </cell>
          <cell r="G83">
            <v>40</v>
          </cell>
          <cell r="J83">
            <v>2</v>
          </cell>
          <cell r="N83" t="str">
            <v>12.9缺卡1次（1.9补的调休0.5天）</v>
          </cell>
          <cell r="O83">
            <v>0.28000000000000003</v>
          </cell>
          <cell r="Q83">
            <v>0.5</v>
          </cell>
          <cell r="R83">
            <v>4.5</v>
          </cell>
          <cell r="S83">
            <v>12</v>
          </cell>
          <cell r="T83">
            <v>184</v>
          </cell>
          <cell r="U83">
            <v>16.5</v>
          </cell>
          <cell r="V83">
            <v>4</v>
          </cell>
          <cell r="W83">
            <v>196.5</v>
          </cell>
        </row>
        <row r="84">
          <cell r="B84" t="str">
            <v>陈社海</v>
          </cell>
          <cell r="C84" t="str">
            <v>工程技术中心-技术开发部</v>
          </cell>
          <cell r="D84">
            <v>45257</v>
          </cell>
          <cell r="E84">
            <v>2</v>
          </cell>
          <cell r="F84" t="str">
            <v>深圳</v>
          </cell>
          <cell r="G84">
            <v>360</v>
          </cell>
          <cell r="H84">
            <v>60</v>
          </cell>
          <cell r="I84">
            <v>90</v>
          </cell>
          <cell r="J84">
            <v>18</v>
          </cell>
          <cell r="N84" t="str">
            <v>缺卡9次</v>
          </cell>
          <cell r="O84">
            <v>4.49</v>
          </cell>
          <cell r="Q84">
            <v>1</v>
          </cell>
          <cell r="R84">
            <v>72</v>
          </cell>
          <cell r="S84">
            <v>30</v>
          </cell>
          <cell r="T84">
            <v>184</v>
          </cell>
          <cell r="U84">
            <v>102</v>
          </cell>
          <cell r="V84">
            <v>8</v>
          </cell>
          <cell r="W84">
            <v>278</v>
          </cell>
        </row>
        <row r="85">
          <cell r="B85" t="str">
            <v>林宇寰</v>
          </cell>
          <cell r="C85" t="str">
            <v>工程技术中心-技术开发部</v>
          </cell>
          <cell r="D85">
            <v>45258</v>
          </cell>
          <cell r="E85">
            <v>2</v>
          </cell>
          <cell r="F85" t="str">
            <v>深圳</v>
          </cell>
          <cell r="G85">
            <v>300</v>
          </cell>
          <cell r="H85">
            <v>120</v>
          </cell>
          <cell r="I85">
            <v>120</v>
          </cell>
          <cell r="J85">
            <v>15</v>
          </cell>
          <cell r="K85">
            <v>100</v>
          </cell>
          <cell r="O85">
            <v>5.13</v>
          </cell>
          <cell r="Q85">
            <v>1.87</v>
          </cell>
          <cell r="R85">
            <v>62</v>
          </cell>
          <cell r="S85">
            <v>40</v>
          </cell>
          <cell r="T85">
            <v>184</v>
          </cell>
          <cell r="U85">
            <v>102</v>
          </cell>
          <cell r="V85">
            <v>14.96</v>
          </cell>
          <cell r="W85">
            <v>271.04000000000002</v>
          </cell>
        </row>
        <row r="86">
          <cell r="B86" t="str">
            <v>田求发</v>
          </cell>
          <cell r="C86" t="str">
            <v>工程技术中心-技术开发部</v>
          </cell>
          <cell r="D86">
            <v>45434</v>
          </cell>
          <cell r="E86">
            <v>1</v>
          </cell>
          <cell r="F86" t="str">
            <v>深圳</v>
          </cell>
          <cell r="G86">
            <v>200</v>
          </cell>
          <cell r="H86">
            <v>30</v>
          </cell>
          <cell r="J86">
            <v>10</v>
          </cell>
          <cell r="N86" t="str">
            <v>缺卡2次</v>
          </cell>
          <cell r="O86">
            <v>4.3099999999999996</v>
          </cell>
          <cell r="Q86">
            <v>1</v>
          </cell>
          <cell r="R86">
            <v>28</v>
          </cell>
          <cell r="S86">
            <v>39.5</v>
          </cell>
          <cell r="T86">
            <v>184</v>
          </cell>
          <cell r="U86">
            <v>67.5</v>
          </cell>
          <cell r="V86">
            <v>8</v>
          </cell>
          <cell r="W86">
            <v>243.5</v>
          </cell>
        </row>
        <row r="87">
          <cell r="B87" t="str">
            <v>张建卿</v>
          </cell>
          <cell r="C87" t="str">
            <v>工程技术中心-技术开发部</v>
          </cell>
          <cell r="D87">
            <v>45560</v>
          </cell>
          <cell r="E87">
            <v>1</v>
          </cell>
          <cell r="F87" t="str">
            <v>深圳</v>
          </cell>
          <cell r="G87">
            <v>340</v>
          </cell>
          <cell r="H87">
            <v>90</v>
          </cell>
          <cell r="J87">
            <v>17</v>
          </cell>
          <cell r="K87">
            <v>100</v>
          </cell>
          <cell r="O87">
            <v>3.78</v>
          </cell>
          <cell r="P87">
            <v>3.43</v>
          </cell>
          <cell r="R87">
            <v>60.5</v>
          </cell>
          <cell r="S87">
            <v>29.5</v>
          </cell>
          <cell r="T87">
            <v>184</v>
          </cell>
          <cell r="U87">
            <v>90</v>
          </cell>
          <cell r="V87">
            <v>27.44</v>
          </cell>
          <cell r="W87">
            <v>246.56</v>
          </cell>
        </row>
        <row r="88">
          <cell r="B88" t="str">
            <v>黄佳根</v>
          </cell>
          <cell r="C88" t="str">
            <v>工程技术中心-技术开发部</v>
          </cell>
          <cell r="D88">
            <v>45797</v>
          </cell>
          <cell r="E88">
            <v>0</v>
          </cell>
          <cell r="F88" t="str">
            <v>深圳</v>
          </cell>
          <cell r="G88">
            <v>0</v>
          </cell>
          <cell r="M88" t="str">
            <v>病假9天</v>
          </cell>
          <cell r="P88">
            <v>1.125</v>
          </cell>
          <cell r="T88">
            <v>184</v>
          </cell>
          <cell r="U88">
            <v>0</v>
          </cell>
          <cell r="V88">
            <v>81</v>
          </cell>
          <cell r="W88">
            <v>103</v>
          </cell>
        </row>
        <row r="89">
          <cell r="B89" t="str">
            <v>刘志洪</v>
          </cell>
          <cell r="C89" t="str">
            <v>工程技术中心-技术开发部</v>
          </cell>
          <cell r="D89">
            <v>45875</v>
          </cell>
          <cell r="E89">
            <v>0</v>
          </cell>
          <cell r="F89" t="str">
            <v>深圳</v>
          </cell>
          <cell r="G89">
            <v>60</v>
          </cell>
          <cell r="J89">
            <v>3</v>
          </cell>
          <cell r="K89">
            <v>100</v>
          </cell>
          <cell r="L89">
            <v>200</v>
          </cell>
          <cell r="O89">
            <v>0.47</v>
          </cell>
          <cell r="Q89">
            <v>1.5</v>
          </cell>
          <cell r="R89">
            <v>7.5</v>
          </cell>
          <cell r="S89">
            <v>1.5</v>
          </cell>
          <cell r="T89">
            <v>184</v>
          </cell>
          <cell r="U89">
            <v>9</v>
          </cell>
          <cell r="V89">
            <v>12</v>
          </cell>
          <cell r="W89">
            <v>181</v>
          </cell>
        </row>
        <row r="90">
          <cell r="B90" t="str">
            <v>王伟超</v>
          </cell>
          <cell r="C90" t="str">
            <v>工程技术中心-技术开发部</v>
          </cell>
          <cell r="D90">
            <v>45901</v>
          </cell>
          <cell r="E90">
            <v>0</v>
          </cell>
          <cell r="F90" t="str">
            <v>深圳</v>
          </cell>
          <cell r="G90">
            <v>460</v>
          </cell>
          <cell r="H90">
            <v>15</v>
          </cell>
          <cell r="J90">
            <v>23</v>
          </cell>
          <cell r="K90">
            <v>100</v>
          </cell>
          <cell r="O90">
            <v>4.22</v>
          </cell>
          <cell r="R90">
            <v>67.5</v>
          </cell>
          <cell r="S90">
            <v>22.5</v>
          </cell>
          <cell r="T90">
            <v>184</v>
          </cell>
          <cell r="U90">
            <v>90</v>
          </cell>
          <cell r="V90">
            <v>0</v>
          </cell>
          <cell r="W90">
            <v>274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zoomScale="130" zoomScaleNormal="130" workbookViewId="0">
      <selection activeCell="F24" sqref="F24"/>
    </sheetView>
  </sheetViews>
  <sheetFormatPr defaultColWidth="9" defaultRowHeight="13.5"/>
  <cols>
    <col min="1" max="4" width="9" style="36"/>
    <col min="5" max="5" width="10.375" style="36" customWidth="1"/>
    <col min="6" max="16384" width="9" style="36"/>
  </cols>
  <sheetData>
    <row r="1" spans="1:9" ht="13.5" customHeight="1">
      <c r="A1" s="206" t="s">
        <v>56</v>
      </c>
      <c r="B1" s="207" t="s">
        <v>57</v>
      </c>
      <c r="C1" s="208" t="s">
        <v>69</v>
      </c>
      <c r="D1" s="208"/>
      <c r="E1" s="208"/>
      <c r="F1" s="208"/>
      <c r="G1" s="208"/>
      <c r="H1" s="208"/>
      <c r="I1" s="208"/>
    </row>
    <row r="2" spans="1:9">
      <c r="A2" s="206"/>
      <c r="B2" s="207"/>
      <c r="C2" s="110" t="s">
        <v>26</v>
      </c>
      <c r="D2" s="110" t="s">
        <v>27</v>
      </c>
      <c r="E2" s="110" t="s">
        <v>58</v>
      </c>
      <c r="F2" s="110" t="s">
        <v>59</v>
      </c>
      <c r="G2" s="110" t="s">
        <v>60</v>
      </c>
      <c r="H2" s="110" t="s">
        <v>61</v>
      </c>
      <c r="I2" s="110" t="s">
        <v>62</v>
      </c>
    </row>
    <row r="3" spans="1:9">
      <c r="A3" s="137" t="s">
        <v>63</v>
      </c>
      <c r="B3" s="138">
        <f>VLOOKUP(A3,[3]考勤!$B$79:$W$90,22,0)</f>
        <v>265.5</v>
      </c>
      <c r="C3" s="139">
        <f>VLOOKUP(A3,[3]考勤!$B$79:$T$90,19,0)</f>
        <v>184</v>
      </c>
      <c r="D3" s="139"/>
      <c r="E3" s="139"/>
      <c r="F3" s="139">
        <f>VLOOKUP(A3,[3]考勤!$B$79:$U$90,20,FALSE)</f>
        <v>82.5</v>
      </c>
      <c r="G3" s="139">
        <f>VLOOKUP(A3,[3]考勤!$B$79:$V$90,21,0)</f>
        <v>1</v>
      </c>
      <c r="H3" s="140">
        <f t="shared" ref="H3:H14" si="0">C3+D3+E3+F3-G3</f>
        <v>265.5</v>
      </c>
      <c r="I3" s="137">
        <f t="shared" ref="I3:I14" si="1">D3/H3</f>
        <v>0</v>
      </c>
    </row>
    <row r="4" spans="1:9">
      <c r="A4" s="141" t="s">
        <v>20</v>
      </c>
      <c r="B4" s="138">
        <f>VLOOKUP(A4,[3]考勤!$B$79:$W$90,22,0)</f>
        <v>221.56</v>
      </c>
      <c r="C4" s="139">
        <f>184-120</f>
        <v>64</v>
      </c>
      <c r="D4" s="140">
        <f>15*8</f>
        <v>120</v>
      </c>
      <c r="E4" s="139">
        <f>3.5+3+4.5+7.5+4+0.35+7.5</f>
        <v>30.35</v>
      </c>
      <c r="F4" s="139">
        <f>47-30.35</f>
        <v>16.649999999999999</v>
      </c>
      <c r="G4" s="139">
        <f>VLOOKUP(A4,[3]考勤!$B$79:$V$90,21,0)</f>
        <v>9.44</v>
      </c>
      <c r="H4" s="140">
        <f t="shared" si="0"/>
        <v>221.56</v>
      </c>
      <c r="I4" s="137">
        <f t="shared" si="1"/>
        <v>0.54161400974905216</v>
      </c>
    </row>
    <row r="5" spans="1:9">
      <c r="A5" s="137" t="s">
        <v>14</v>
      </c>
      <c r="B5" s="138">
        <f>VLOOKUP(A5,[3]考勤!$B$79:$W$90,22,0)</f>
        <v>184</v>
      </c>
      <c r="C5" s="139">
        <f>VLOOKUP(A5,[3]考勤!$B$79:$T$90,19,0)</f>
        <v>184</v>
      </c>
      <c r="D5" s="139"/>
      <c r="E5" s="139"/>
      <c r="F5" s="139">
        <f>VLOOKUP(A5,[3]考勤!$B$79:$U$90,20,FALSE)</f>
        <v>0</v>
      </c>
      <c r="G5" s="139">
        <f>VLOOKUP(A5,[3]考勤!$B$79:$V$90,21,0)</f>
        <v>0</v>
      </c>
      <c r="H5" s="140">
        <f t="shared" si="0"/>
        <v>184</v>
      </c>
      <c r="I5" s="137">
        <f t="shared" si="1"/>
        <v>0</v>
      </c>
    </row>
    <row r="6" spans="1:9">
      <c r="A6" s="137" t="s">
        <v>12</v>
      </c>
      <c r="B6" s="138">
        <f>VLOOKUP(A6,[3]考勤!$B$79:$W$90,22,0)</f>
        <v>184</v>
      </c>
      <c r="C6" s="139"/>
      <c r="D6" s="139">
        <v>184</v>
      </c>
      <c r="E6" s="139"/>
      <c r="F6" s="139">
        <f>VLOOKUP(A6,[3]考勤!$B$79:$U$90,20,FALSE)</f>
        <v>0</v>
      </c>
      <c r="G6" s="139">
        <f>VLOOKUP(A6,[3]考勤!$B$79:$V$90,21,0)</f>
        <v>0</v>
      </c>
      <c r="H6" s="140">
        <f t="shared" si="0"/>
        <v>184</v>
      </c>
      <c r="I6" s="137">
        <f t="shared" si="1"/>
        <v>1</v>
      </c>
    </row>
    <row r="7" spans="1:9">
      <c r="A7" s="137" t="s">
        <v>64</v>
      </c>
      <c r="B7" s="138">
        <f>VLOOKUP(A7,[3]考勤!$B$79:$W$90,22,0)</f>
        <v>196.5</v>
      </c>
      <c r="C7" s="139">
        <f>184-8</f>
        <v>176</v>
      </c>
      <c r="D7" s="139">
        <v>8</v>
      </c>
      <c r="E7" s="139"/>
      <c r="F7" s="139">
        <f>VLOOKUP(A7,[3]考勤!$B$79:$U$90,20,FALSE)</f>
        <v>16.5</v>
      </c>
      <c r="G7" s="139">
        <f>VLOOKUP(A7,[3]考勤!$B$79:$V$90,21,0)</f>
        <v>4</v>
      </c>
      <c r="H7" s="140">
        <f t="shared" si="0"/>
        <v>196.5</v>
      </c>
      <c r="I7" s="137">
        <f t="shared" si="1"/>
        <v>4.0712468193384227E-2</v>
      </c>
    </row>
    <row r="8" spans="1:9">
      <c r="A8" s="137" t="s">
        <v>65</v>
      </c>
      <c r="B8" s="138">
        <f>VLOOKUP(A8,[3]考勤!$B$79:$W$90,22,0)</f>
        <v>278</v>
      </c>
      <c r="C8" s="139">
        <f>184-88</f>
        <v>96</v>
      </c>
      <c r="D8" s="139">
        <f>11*8</f>
        <v>88</v>
      </c>
      <c r="E8" s="139">
        <f>4.5+4+6.5+4+9.5+2.57+7+7+3.5</f>
        <v>48.57</v>
      </c>
      <c r="F8" s="139">
        <f>102-48.57</f>
        <v>53.43</v>
      </c>
      <c r="G8" s="139">
        <f>VLOOKUP(A8,[3]考勤!$B$79:$V$90,21,0)</f>
        <v>8</v>
      </c>
      <c r="H8" s="140">
        <f t="shared" si="0"/>
        <v>278</v>
      </c>
      <c r="I8" s="137">
        <f t="shared" si="1"/>
        <v>0.31654676258992803</v>
      </c>
    </row>
    <row r="9" spans="1:9">
      <c r="A9" s="137" t="s">
        <v>21</v>
      </c>
      <c r="B9" s="138">
        <f>VLOOKUP(A9,[3]考勤!$B$79:$W$90,22,0)</f>
        <v>271.04000000000002</v>
      </c>
      <c r="C9" s="139">
        <f>184-112</f>
        <v>72</v>
      </c>
      <c r="D9" s="140">
        <f>14*8</f>
        <v>112</v>
      </c>
      <c r="E9" s="140">
        <f>5+7.5+6+4.5+10.5+4+2+2+4.5+6.5</f>
        <v>52.5</v>
      </c>
      <c r="F9" s="139">
        <f>102-52.5</f>
        <v>49.5</v>
      </c>
      <c r="G9" s="139">
        <f>VLOOKUP(A9,[3]考勤!$B$79:$V$90,21,0)</f>
        <v>14.96</v>
      </c>
      <c r="H9" s="140">
        <f t="shared" si="0"/>
        <v>271.04000000000002</v>
      </c>
      <c r="I9" s="137">
        <f t="shared" si="1"/>
        <v>0.41322314049586772</v>
      </c>
    </row>
    <row r="10" spans="1:9">
      <c r="A10" s="142" t="s">
        <v>24</v>
      </c>
      <c r="B10" s="138">
        <f>VLOOKUP(A10,[3]考勤!$B$79:$W$90,22,0)</f>
        <v>243.5</v>
      </c>
      <c r="C10" s="139">
        <f>184-80</f>
        <v>104</v>
      </c>
      <c r="D10" s="139">
        <f>10*8</f>
        <v>80</v>
      </c>
      <c r="E10" s="139">
        <f>3.5+2.5+3.5+3.5+10+12.5+5+2+9</f>
        <v>51.5</v>
      </c>
      <c r="F10" s="139">
        <f>67.5-51.5</f>
        <v>16</v>
      </c>
      <c r="G10" s="139">
        <f>VLOOKUP(A10,[3]考勤!$B$79:$V$90,21,0)</f>
        <v>8</v>
      </c>
      <c r="H10" s="140">
        <f t="shared" si="0"/>
        <v>243.5</v>
      </c>
      <c r="I10" s="137">
        <f t="shared" si="1"/>
        <v>0.32854209445585214</v>
      </c>
    </row>
    <row r="11" spans="1:9">
      <c r="A11" s="143" t="s">
        <v>25</v>
      </c>
      <c r="B11" s="138">
        <f>VLOOKUP(A11,[3]考勤!$B$79:$W$90,22,0)</f>
        <v>246.56</v>
      </c>
      <c r="C11" s="139">
        <v>104</v>
      </c>
      <c r="D11" s="140">
        <v>80</v>
      </c>
      <c r="E11" s="144">
        <f>6+6+5+4+5+8.5+3+4.5+4.5+2+2+6.5</f>
        <v>57</v>
      </c>
      <c r="F11" s="139">
        <f>90-57</f>
        <v>33</v>
      </c>
      <c r="G11" s="139">
        <f>VLOOKUP(A11,[3]考勤!$B$79:$V$90,21,0)</f>
        <v>27.44</v>
      </c>
      <c r="H11" s="140">
        <f t="shared" si="0"/>
        <v>246.56</v>
      </c>
      <c r="I11" s="137">
        <f t="shared" si="1"/>
        <v>0.32446463335496428</v>
      </c>
    </row>
    <row r="12" spans="1:9">
      <c r="A12" s="143" t="s">
        <v>66</v>
      </c>
      <c r="B12" s="138">
        <f>VLOOKUP(A12,[3]考勤!$B$79:$W$90,22,0)</f>
        <v>103</v>
      </c>
      <c r="C12" s="139">
        <f>184-8</f>
        <v>176</v>
      </c>
      <c r="D12" s="139">
        <v>8</v>
      </c>
      <c r="E12" s="139"/>
      <c r="F12" s="139">
        <f>VLOOKUP(A12,[3]考勤!$B$79:$U$90,20,FALSE)</f>
        <v>0</v>
      </c>
      <c r="G12" s="139">
        <f>VLOOKUP(A12,[3]考勤!$B$79:$V$90,21,0)</f>
        <v>81</v>
      </c>
      <c r="H12" s="140">
        <f t="shared" si="0"/>
        <v>103</v>
      </c>
      <c r="I12" s="137">
        <f t="shared" si="1"/>
        <v>7.7669902912621352E-2</v>
      </c>
    </row>
    <row r="13" spans="1:9">
      <c r="A13" s="143" t="s">
        <v>67</v>
      </c>
      <c r="B13" s="138">
        <f>VLOOKUP(A13,[3]考勤!$B$79:$W$90,22,0)</f>
        <v>181</v>
      </c>
      <c r="C13" s="139">
        <v>184</v>
      </c>
      <c r="D13" s="139"/>
      <c r="E13" s="139"/>
      <c r="F13" s="139">
        <f>VLOOKUP(A13,[3]考勤!$B$79:$U$90,20,FALSE)</f>
        <v>9</v>
      </c>
      <c r="G13" s="139">
        <f>VLOOKUP(A13,[3]考勤!$B$79:$V$90,21,0)</f>
        <v>12</v>
      </c>
      <c r="H13" s="140">
        <f t="shared" si="0"/>
        <v>181</v>
      </c>
      <c r="I13" s="137">
        <f t="shared" si="1"/>
        <v>0</v>
      </c>
    </row>
    <row r="14" spans="1:9" ht="14.25">
      <c r="A14" s="143" t="s">
        <v>68</v>
      </c>
      <c r="B14" s="138">
        <f>VLOOKUP(A14,[3]考勤!$B$79:$W$90,22,0)</f>
        <v>274</v>
      </c>
      <c r="C14" s="139">
        <f>VLOOKUP(A14,[3]考勤!$B$79:$T$90,19,0)</f>
        <v>184</v>
      </c>
      <c r="D14" s="3"/>
      <c r="E14" s="3"/>
      <c r="F14" s="139">
        <f>VLOOKUP(A14,[3]考勤!$B$79:$U$90,20,FALSE)</f>
        <v>90</v>
      </c>
      <c r="G14" s="139">
        <f>VLOOKUP(A14,[3]考勤!$B$79:$V$90,21,0)</f>
        <v>0</v>
      </c>
      <c r="H14" s="140">
        <f t="shared" si="0"/>
        <v>274</v>
      </c>
      <c r="I14" s="137">
        <f t="shared" si="1"/>
        <v>0</v>
      </c>
    </row>
  </sheetData>
  <mergeCells count="3">
    <mergeCell ref="A1:A2"/>
    <mergeCell ref="B1:B2"/>
    <mergeCell ref="C1:I1"/>
  </mergeCells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29"/>
  <sheetViews>
    <sheetView zoomScale="90" zoomScaleNormal="90" workbookViewId="0">
      <selection activeCell="C30" sqref="C30:P31"/>
    </sheetView>
  </sheetViews>
  <sheetFormatPr defaultColWidth="9" defaultRowHeight="14.25"/>
  <cols>
    <col min="1" max="1" width="4" style="20" customWidth="1"/>
    <col min="2" max="2" width="16.625" style="21" customWidth="1"/>
    <col min="3" max="3" width="28" style="20" customWidth="1"/>
    <col min="4" max="4" width="41.625" style="20" customWidth="1"/>
    <col min="5" max="7" width="4.875" style="21" customWidth="1"/>
    <col min="8" max="16" width="5.125" style="21" customWidth="1"/>
    <col min="17" max="17" width="13.375" style="21" customWidth="1"/>
  </cols>
  <sheetData>
    <row r="1" spans="1:17" ht="21.95" customHeight="1">
      <c r="A1" s="210" t="s">
        <v>0</v>
      </c>
      <c r="B1" s="212" t="s">
        <v>1</v>
      </c>
      <c r="C1" s="214" t="s">
        <v>2</v>
      </c>
      <c r="D1" s="214" t="s">
        <v>3</v>
      </c>
      <c r="E1" s="209" t="s">
        <v>4</v>
      </c>
      <c r="F1" s="209"/>
      <c r="G1" s="209"/>
      <c r="H1" s="209" t="s">
        <v>5</v>
      </c>
      <c r="I1" s="209"/>
      <c r="J1" s="209"/>
      <c r="K1" s="209" t="s">
        <v>6</v>
      </c>
      <c r="L1" s="209"/>
      <c r="M1" s="209"/>
      <c r="N1" s="209" t="s">
        <v>7</v>
      </c>
      <c r="O1" s="209"/>
      <c r="P1" s="209"/>
      <c r="Q1" s="71" t="s">
        <v>8</v>
      </c>
    </row>
    <row r="2" spans="1:17">
      <c r="A2" s="211"/>
      <c r="B2" s="213"/>
      <c r="C2" s="215"/>
      <c r="D2" s="215"/>
      <c r="E2" s="21" t="s">
        <v>9</v>
      </c>
      <c r="F2" s="21" t="s">
        <v>10</v>
      </c>
      <c r="G2" s="21" t="s">
        <v>11</v>
      </c>
      <c r="H2" s="21" t="s">
        <v>9</v>
      </c>
      <c r="I2" s="21" t="s">
        <v>10</v>
      </c>
      <c r="J2" s="21" t="s">
        <v>11</v>
      </c>
      <c r="K2" s="21" t="s">
        <v>9</v>
      </c>
      <c r="L2" s="21" t="s">
        <v>10</v>
      </c>
      <c r="M2" s="21" t="s">
        <v>11</v>
      </c>
      <c r="N2" s="21" t="s">
        <v>9</v>
      </c>
      <c r="O2" s="21" t="s">
        <v>10</v>
      </c>
      <c r="P2" s="21" t="s">
        <v>11</v>
      </c>
      <c r="Q2" s="72"/>
    </row>
    <row r="3" spans="1:17">
      <c r="A3" s="198">
        <v>1</v>
      </c>
      <c r="B3" s="150" t="s">
        <v>124</v>
      </c>
      <c r="C3" s="46" t="s">
        <v>118</v>
      </c>
      <c r="D3" s="151" t="s">
        <v>119</v>
      </c>
      <c r="E3" s="2"/>
      <c r="F3"/>
      <c r="G3" s="10"/>
      <c r="H3" s="5"/>
      <c r="I3" s="205">
        <v>8</v>
      </c>
      <c r="J3" s="89">
        <v>36</v>
      </c>
      <c r="K3" s="5"/>
      <c r="L3" s="5"/>
      <c r="M3" s="5"/>
      <c r="N3" s="5"/>
      <c r="O3" s="5"/>
      <c r="P3" s="3"/>
      <c r="Q3" s="199"/>
    </row>
    <row r="4" spans="1:17">
      <c r="A4" s="198">
        <v>2</v>
      </c>
      <c r="B4" s="150" t="s">
        <v>124</v>
      </c>
      <c r="C4" s="46" t="s">
        <v>120</v>
      </c>
      <c r="D4" s="46" t="s">
        <v>121</v>
      </c>
      <c r="E4" s="2"/>
      <c r="F4" s="3"/>
      <c r="G4" s="10"/>
      <c r="H4" s="3"/>
      <c r="I4" s="46">
        <v>20</v>
      </c>
      <c r="J4" s="89">
        <v>72</v>
      </c>
      <c r="K4" s="3"/>
      <c r="L4" s="3"/>
      <c r="M4" s="3"/>
      <c r="N4" s="3"/>
      <c r="O4" s="3"/>
      <c r="P4" s="3"/>
      <c r="Q4" s="199"/>
    </row>
    <row r="5" spans="1:17">
      <c r="A5" s="198">
        <v>3</v>
      </c>
      <c r="B5" s="150" t="s">
        <v>124</v>
      </c>
      <c r="C5" s="46" t="s">
        <v>122</v>
      </c>
      <c r="D5" s="46" t="s">
        <v>123</v>
      </c>
      <c r="E5" s="10"/>
      <c r="F5" s="10"/>
      <c r="G5" s="10"/>
      <c r="H5" s="5"/>
      <c r="I5" s="46">
        <v>8</v>
      </c>
      <c r="J5" s="46">
        <v>40</v>
      </c>
      <c r="K5" s="5"/>
      <c r="L5" s="5"/>
      <c r="M5" s="5"/>
      <c r="N5" s="5"/>
      <c r="O5" s="5"/>
      <c r="P5" s="5"/>
      <c r="Q5" s="199"/>
    </row>
    <row r="6" spans="1:17">
      <c r="A6" s="198">
        <v>4</v>
      </c>
      <c r="B6" s="150" t="s">
        <v>14</v>
      </c>
      <c r="C6" s="24" t="s">
        <v>75</v>
      </c>
      <c r="D6" s="94" t="s">
        <v>80</v>
      </c>
      <c r="E6" s="90"/>
      <c r="F6" s="90">
        <v>16</v>
      </c>
      <c r="G6" s="94">
        <v>8</v>
      </c>
      <c r="H6" s="90"/>
      <c r="I6" s="90"/>
      <c r="J6" s="94"/>
      <c r="K6" s="90"/>
      <c r="L6" s="90"/>
      <c r="M6" s="94"/>
      <c r="N6" s="90"/>
      <c r="O6" s="90"/>
      <c r="P6" s="94"/>
      <c r="Q6" s="199"/>
    </row>
    <row r="7" spans="1:17">
      <c r="A7" s="198">
        <v>5</v>
      </c>
      <c r="B7" s="150" t="s">
        <v>14</v>
      </c>
      <c r="C7" s="10" t="s">
        <v>76</v>
      </c>
      <c r="D7" s="46" t="s">
        <v>81</v>
      </c>
      <c r="E7" s="10">
        <v>4</v>
      </c>
      <c r="F7" s="10">
        <v>16</v>
      </c>
      <c r="G7" s="10">
        <v>8</v>
      </c>
      <c r="H7" s="3"/>
      <c r="I7" s="3"/>
      <c r="J7" s="3"/>
      <c r="K7" s="3"/>
      <c r="L7" s="3"/>
      <c r="M7" s="3"/>
      <c r="N7" s="3"/>
      <c r="O7" s="3"/>
      <c r="P7" s="3"/>
      <c r="Q7" s="199"/>
    </row>
    <row r="8" spans="1:17" s="11" customFormat="1">
      <c r="A8" s="198">
        <v>6</v>
      </c>
      <c r="B8" s="150" t="s">
        <v>14</v>
      </c>
      <c r="C8" s="10" t="s">
        <v>77</v>
      </c>
      <c r="D8" s="46" t="s">
        <v>82</v>
      </c>
      <c r="E8" s="10"/>
      <c r="F8" s="10"/>
      <c r="G8" s="10"/>
      <c r="H8" s="3"/>
      <c r="I8" s="3"/>
      <c r="J8" s="3">
        <v>56</v>
      </c>
      <c r="K8" s="3"/>
      <c r="L8" s="3"/>
      <c r="M8" s="3"/>
      <c r="N8" s="3"/>
      <c r="O8" s="3"/>
      <c r="P8" s="3"/>
      <c r="Q8" s="200"/>
    </row>
    <row r="9" spans="1:17" s="11" customFormat="1">
      <c r="A9" s="198">
        <v>7</v>
      </c>
      <c r="B9" s="150" t="s">
        <v>14</v>
      </c>
      <c r="C9" s="10" t="s">
        <v>78</v>
      </c>
      <c r="D9" s="46" t="s">
        <v>83</v>
      </c>
      <c r="E9" s="10">
        <v>8</v>
      </c>
      <c r="F9" s="10">
        <v>24</v>
      </c>
      <c r="G9" s="10">
        <v>24</v>
      </c>
      <c r="H9" s="3"/>
      <c r="I9" s="3"/>
      <c r="J9" s="3"/>
      <c r="K9" s="3"/>
      <c r="L9" s="3"/>
      <c r="M9" s="3"/>
      <c r="N9" s="3"/>
      <c r="O9" s="3"/>
      <c r="P9" s="3"/>
      <c r="Q9" s="200"/>
    </row>
    <row r="10" spans="1:17" s="11" customFormat="1">
      <c r="A10" s="198">
        <v>8</v>
      </c>
      <c r="B10" s="150" t="s">
        <v>14</v>
      </c>
      <c r="C10" s="10" t="s">
        <v>79</v>
      </c>
      <c r="D10" s="10" t="s">
        <v>84</v>
      </c>
      <c r="E10" s="10">
        <v>8</v>
      </c>
      <c r="F10" s="10"/>
      <c r="G10" s="10">
        <v>12</v>
      </c>
      <c r="H10" s="3"/>
      <c r="I10" s="3"/>
      <c r="J10" s="3"/>
      <c r="K10" s="3"/>
      <c r="L10" s="3"/>
      <c r="M10" s="3"/>
      <c r="N10" s="3"/>
      <c r="O10" s="3"/>
      <c r="P10" s="3"/>
      <c r="Q10" s="200"/>
    </row>
    <row r="11" spans="1:17" s="70" customFormat="1" ht="16.5" customHeight="1">
      <c r="A11" s="198">
        <v>9</v>
      </c>
      <c r="B11" s="195" t="s">
        <v>55</v>
      </c>
      <c r="C11" s="65" t="s">
        <v>41</v>
      </c>
      <c r="D11" s="66" t="s">
        <v>42</v>
      </c>
      <c r="E11" s="67"/>
      <c r="F11" s="67"/>
      <c r="G11" s="69"/>
      <c r="H11" s="190"/>
      <c r="I11" s="69"/>
      <c r="J11" s="69">
        <v>8</v>
      </c>
      <c r="K11" s="190"/>
      <c r="L11" s="190"/>
      <c r="M11" s="69"/>
      <c r="N11" s="190"/>
      <c r="O11" s="69"/>
      <c r="P11" s="69"/>
      <c r="Q11" s="201"/>
    </row>
    <row r="12" spans="1:17" s="70" customFormat="1" ht="15.75" customHeight="1">
      <c r="A12" s="198">
        <v>10</v>
      </c>
      <c r="B12" s="195" t="s">
        <v>55</v>
      </c>
      <c r="C12" s="65" t="s">
        <v>70</v>
      </c>
      <c r="D12" s="66" t="s">
        <v>71</v>
      </c>
      <c r="E12" s="191"/>
      <c r="F12" s="69"/>
      <c r="G12" s="69">
        <v>8</v>
      </c>
      <c r="H12" s="192"/>
      <c r="I12" s="69"/>
      <c r="J12" s="69"/>
      <c r="K12" s="192"/>
      <c r="L12" s="67"/>
      <c r="M12" s="69"/>
      <c r="N12" s="192"/>
      <c r="O12" s="69"/>
      <c r="P12" s="69"/>
      <c r="Q12" s="201"/>
    </row>
    <row r="13" spans="1:17" s="70" customFormat="1" ht="15.75" customHeight="1">
      <c r="A13" s="198">
        <v>11</v>
      </c>
      <c r="B13" s="196" t="s">
        <v>116</v>
      </c>
      <c r="C13" s="128" t="s">
        <v>72</v>
      </c>
      <c r="D13" s="129" t="s">
        <v>73</v>
      </c>
      <c r="E13" s="67"/>
      <c r="F13" s="67">
        <v>84</v>
      </c>
      <c r="G13" s="67"/>
      <c r="H13" s="67"/>
      <c r="I13" s="69"/>
      <c r="J13" s="67"/>
      <c r="K13" s="67"/>
      <c r="L13" s="67">
        <v>8.5</v>
      </c>
      <c r="M13" s="67"/>
      <c r="N13" s="67"/>
      <c r="O13" s="67">
        <v>8</v>
      </c>
      <c r="P13" s="67"/>
      <c r="Q13" s="201"/>
    </row>
    <row r="14" spans="1:17" s="70" customFormat="1" ht="15.75" customHeight="1">
      <c r="A14" s="198">
        <v>12</v>
      </c>
      <c r="B14" s="196" t="s">
        <v>117</v>
      </c>
      <c r="C14" s="193" t="s">
        <v>76</v>
      </c>
      <c r="D14" s="194" t="s">
        <v>115</v>
      </c>
      <c r="E14" s="67"/>
      <c r="F14" s="67">
        <v>80</v>
      </c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201"/>
    </row>
    <row r="15" spans="1:17" ht="15.75" customHeight="1">
      <c r="A15" s="198">
        <v>13</v>
      </c>
      <c r="B15" s="89" t="s">
        <v>54</v>
      </c>
      <c r="C15" s="162" t="s">
        <v>16</v>
      </c>
      <c r="D15" s="90" t="s">
        <v>17</v>
      </c>
      <c r="E15" s="154">
        <v>17</v>
      </c>
      <c r="F15" s="154">
        <v>21</v>
      </c>
      <c r="G15" s="174">
        <v>26</v>
      </c>
      <c r="H15" s="157"/>
      <c r="I15" s="157"/>
      <c r="J15" s="157"/>
      <c r="K15" s="157">
        <v>3.5</v>
      </c>
      <c r="L15" s="157">
        <v>2</v>
      </c>
      <c r="M15" s="157">
        <v>4</v>
      </c>
      <c r="N15" s="157">
        <v>5</v>
      </c>
      <c r="O15" s="157">
        <v>3</v>
      </c>
      <c r="P15" s="157">
        <v>3</v>
      </c>
      <c r="Q15" s="202"/>
    </row>
    <row r="16" spans="1:17" ht="15.75" customHeight="1">
      <c r="A16" s="198">
        <v>14</v>
      </c>
      <c r="B16" s="89" t="s">
        <v>54</v>
      </c>
      <c r="C16" s="162" t="s">
        <v>52</v>
      </c>
      <c r="D16" s="162" t="s">
        <v>53</v>
      </c>
      <c r="E16" s="154">
        <v>35</v>
      </c>
      <c r="F16" s="154">
        <v>14</v>
      </c>
      <c r="G16" s="175">
        <v>24</v>
      </c>
      <c r="H16" s="157"/>
      <c r="I16" s="157"/>
      <c r="J16" s="176"/>
      <c r="K16" s="157">
        <v>8</v>
      </c>
      <c r="L16" s="157">
        <v>7</v>
      </c>
      <c r="M16" s="176">
        <v>3</v>
      </c>
      <c r="N16" s="157">
        <v>3</v>
      </c>
      <c r="O16" s="157">
        <v>8</v>
      </c>
      <c r="P16" s="176">
        <v>3</v>
      </c>
      <c r="Q16" s="202"/>
    </row>
    <row r="17" spans="1:17" ht="15.75" customHeight="1">
      <c r="A17" s="198">
        <v>15</v>
      </c>
      <c r="B17" s="89" t="s">
        <v>54</v>
      </c>
      <c r="C17" s="162" t="s">
        <v>96</v>
      </c>
      <c r="D17" s="162" t="s">
        <v>97</v>
      </c>
      <c r="E17" s="157">
        <v>22</v>
      </c>
      <c r="F17" s="157">
        <v>15</v>
      </c>
      <c r="G17" s="176">
        <v>10</v>
      </c>
      <c r="H17" s="157"/>
      <c r="I17" s="157"/>
      <c r="J17" s="176"/>
      <c r="K17" s="157">
        <v>4</v>
      </c>
      <c r="L17" s="157">
        <v>9</v>
      </c>
      <c r="M17" s="176">
        <v>5</v>
      </c>
      <c r="N17" s="157">
        <v>7</v>
      </c>
      <c r="O17" s="157">
        <v>2</v>
      </c>
      <c r="P17" s="176">
        <v>2</v>
      </c>
      <c r="Q17" s="202"/>
    </row>
    <row r="18" spans="1:17" s="88" customFormat="1">
      <c r="A18" s="198">
        <v>16</v>
      </c>
      <c r="B18" s="89" t="s">
        <v>47</v>
      </c>
      <c r="C18" s="24" t="s">
        <v>108</v>
      </c>
      <c r="D18" s="24" t="s">
        <v>19</v>
      </c>
      <c r="E18" s="24">
        <v>32</v>
      </c>
      <c r="F18" s="24">
        <v>32</v>
      </c>
      <c r="G18" s="24">
        <v>24</v>
      </c>
      <c r="H18" s="24"/>
      <c r="I18" s="24"/>
      <c r="J18" s="24">
        <v>88</v>
      </c>
      <c r="K18" s="24"/>
      <c r="L18" s="24"/>
      <c r="M18" s="24">
        <v>48.57</v>
      </c>
      <c r="N18" s="24"/>
      <c r="O18" s="24"/>
      <c r="P18" s="24">
        <v>53.43</v>
      </c>
      <c r="Q18" s="202"/>
    </row>
    <row r="19" spans="1:17" s="88" customFormat="1">
      <c r="A19" s="198">
        <v>17</v>
      </c>
      <c r="B19" s="89" t="s">
        <v>95</v>
      </c>
      <c r="C19" s="46" t="s">
        <v>45</v>
      </c>
      <c r="D19" s="151" t="s">
        <v>91</v>
      </c>
      <c r="E19" s="10"/>
      <c r="F19" s="10"/>
      <c r="G19" s="10">
        <v>30</v>
      </c>
      <c r="H19" s="10"/>
      <c r="I19" s="10"/>
      <c r="J19" s="46">
        <v>120</v>
      </c>
      <c r="K19" s="10"/>
      <c r="L19" s="10"/>
      <c r="M19" s="46">
        <v>18.5</v>
      </c>
      <c r="N19" s="10"/>
      <c r="O19" s="10"/>
      <c r="P19" s="46">
        <v>22.5</v>
      </c>
      <c r="Q19" s="202"/>
    </row>
    <row r="20" spans="1:17" ht="14.25" customHeight="1">
      <c r="A20" s="198">
        <v>18</v>
      </c>
      <c r="B20" s="150" t="s">
        <v>95</v>
      </c>
      <c r="C20" s="46" t="s">
        <v>92</v>
      </c>
      <c r="D20" s="151" t="s">
        <v>93</v>
      </c>
      <c r="E20" s="10"/>
      <c r="F20" s="10">
        <v>24.56</v>
      </c>
      <c r="G20" s="10"/>
      <c r="H20" s="10"/>
      <c r="I20" s="10"/>
      <c r="J20" s="46"/>
      <c r="K20" s="10"/>
      <c r="L20" s="10"/>
      <c r="M20" s="46"/>
      <c r="N20" s="10"/>
      <c r="O20" s="10">
        <v>6</v>
      </c>
      <c r="P20" s="46"/>
      <c r="Q20" s="202"/>
    </row>
    <row r="21" spans="1:17">
      <c r="A21" s="198">
        <v>19</v>
      </c>
      <c r="B21" s="150" t="s">
        <v>21</v>
      </c>
      <c r="C21" s="46" t="s">
        <v>109</v>
      </c>
      <c r="D21" s="46" t="s">
        <v>110</v>
      </c>
      <c r="E21" s="46"/>
      <c r="F21" s="46">
        <v>72</v>
      </c>
      <c r="G21" s="46"/>
      <c r="H21" s="46"/>
      <c r="I21" s="46"/>
      <c r="J21" s="46"/>
      <c r="K21" s="46"/>
      <c r="L21" s="46"/>
      <c r="M21" s="46">
        <v>52.5</v>
      </c>
      <c r="N21" s="46"/>
      <c r="O21" s="46"/>
      <c r="P21" s="46"/>
      <c r="Q21" s="202"/>
    </row>
    <row r="22" spans="1:17">
      <c r="A22" s="198">
        <v>20</v>
      </c>
      <c r="B22" s="150" t="s">
        <v>21</v>
      </c>
      <c r="C22" s="46" t="s">
        <v>111</v>
      </c>
      <c r="D22" s="46" t="s">
        <v>112</v>
      </c>
      <c r="E22" s="46"/>
      <c r="F22" s="46"/>
      <c r="G22" s="46"/>
      <c r="H22" s="46"/>
      <c r="I22" s="46"/>
      <c r="J22" s="46">
        <v>112</v>
      </c>
      <c r="K22" s="46"/>
      <c r="L22" s="46"/>
      <c r="M22" s="46"/>
      <c r="N22" s="46"/>
      <c r="O22" s="46"/>
      <c r="P22" s="46"/>
      <c r="Q22" s="202"/>
    </row>
    <row r="23" spans="1:17">
      <c r="A23" s="198">
        <v>21</v>
      </c>
      <c r="B23" s="150" t="s">
        <v>21</v>
      </c>
      <c r="C23" s="46" t="s">
        <v>113</v>
      </c>
      <c r="D23" s="46" t="s">
        <v>114</v>
      </c>
      <c r="E23" s="184"/>
      <c r="F23" s="184"/>
      <c r="G23" s="184">
        <v>34.54</v>
      </c>
      <c r="H23" s="184"/>
      <c r="I23" s="184"/>
      <c r="J23" s="184"/>
      <c r="K23" s="184"/>
      <c r="L23" s="184"/>
      <c r="M23" s="184"/>
      <c r="N23" s="184"/>
      <c r="O23" s="184"/>
      <c r="P23" s="184"/>
      <c r="Q23" s="202"/>
    </row>
    <row r="24" spans="1:17" s="37" customFormat="1">
      <c r="A24" s="198">
        <v>22</v>
      </c>
      <c r="B24" s="89" t="s">
        <v>100</v>
      </c>
      <c r="C24" s="167" t="s">
        <v>38</v>
      </c>
      <c r="D24" s="167" t="s">
        <v>39</v>
      </c>
      <c r="E24" s="167"/>
      <c r="F24" s="167"/>
      <c r="G24" s="167">
        <v>80</v>
      </c>
      <c r="H24" s="170"/>
      <c r="I24" s="170"/>
      <c r="J24" s="167">
        <v>80</v>
      </c>
      <c r="K24" s="167"/>
      <c r="L24" s="167"/>
      <c r="M24" s="167">
        <v>28</v>
      </c>
      <c r="N24" s="170"/>
      <c r="O24" s="167"/>
      <c r="P24" s="167">
        <v>31.5</v>
      </c>
      <c r="Q24" s="72"/>
    </row>
    <row r="25" spans="1:17" s="37" customFormat="1">
      <c r="A25" s="198">
        <v>23</v>
      </c>
      <c r="B25" s="89" t="s">
        <v>100</v>
      </c>
      <c r="C25" s="167" t="s">
        <v>98</v>
      </c>
      <c r="D25" s="167" t="s">
        <v>99</v>
      </c>
      <c r="E25" s="167"/>
      <c r="F25" s="167"/>
      <c r="G25" s="167">
        <v>24</v>
      </c>
      <c r="H25" s="170"/>
      <c r="I25" s="170"/>
      <c r="J25" s="170"/>
      <c r="K25" s="167"/>
      <c r="L25" s="167"/>
      <c r="M25" s="167"/>
      <c r="N25" s="170"/>
      <c r="O25" s="167"/>
      <c r="P25" s="167"/>
      <c r="Q25" s="72"/>
    </row>
    <row r="26" spans="1:17">
      <c r="A26" s="198">
        <v>24</v>
      </c>
      <c r="B26" s="89" t="s">
        <v>25</v>
      </c>
      <c r="C26" s="46" t="s">
        <v>108</v>
      </c>
      <c r="D26" s="6" t="s">
        <v>105</v>
      </c>
      <c r="E26" s="12"/>
      <c r="F26" s="12"/>
      <c r="G26" s="12">
        <v>4</v>
      </c>
      <c r="H26" s="6"/>
      <c r="I26" s="6"/>
      <c r="J26" s="6"/>
      <c r="K26" s="6"/>
      <c r="L26" s="6"/>
      <c r="M26" s="6"/>
      <c r="N26" s="6"/>
      <c r="O26" s="6"/>
      <c r="P26" s="6"/>
      <c r="Q26" s="202"/>
    </row>
    <row r="27" spans="1:17">
      <c r="A27" s="198">
        <v>28</v>
      </c>
      <c r="B27" s="89" t="s">
        <v>25</v>
      </c>
      <c r="C27" s="6" t="s">
        <v>15</v>
      </c>
      <c r="D27" s="6" t="s">
        <v>44</v>
      </c>
      <c r="E27" s="3"/>
      <c r="F27" s="3"/>
      <c r="G27" s="3">
        <v>64.56</v>
      </c>
      <c r="H27" s="3"/>
      <c r="I27" s="3"/>
      <c r="J27" s="3">
        <v>80</v>
      </c>
      <c r="K27" s="3"/>
      <c r="L27" s="10">
        <v>48.5</v>
      </c>
      <c r="M27" s="3"/>
      <c r="N27" s="3"/>
      <c r="O27" s="3">
        <v>29.5</v>
      </c>
      <c r="P27" s="3"/>
      <c r="Q27" s="202"/>
    </row>
    <row r="28" spans="1:17">
      <c r="A28" s="198">
        <v>29</v>
      </c>
      <c r="B28" s="89" t="s">
        <v>107</v>
      </c>
      <c r="C28" s="6" t="s">
        <v>46</v>
      </c>
      <c r="D28" s="6" t="s">
        <v>13</v>
      </c>
      <c r="E28" s="3"/>
      <c r="F28" s="3"/>
      <c r="G28" s="3"/>
      <c r="H28" s="3"/>
      <c r="I28" s="3"/>
      <c r="J28" s="3"/>
      <c r="K28" s="3"/>
      <c r="L28" s="10">
        <v>12</v>
      </c>
      <c r="M28" s="3"/>
      <c r="N28" s="3"/>
      <c r="O28" s="3"/>
      <c r="P28" s="3"/>
      <c r="Q28" s="202"/>
    </row>
    <row r="29" spans="1:17">
      <c r="A29" s="198">
        <v>30</v>
      </c>
      <c r="B29" s="89" t="s">
        <v>107</v>
      </c>
      <c r="C29" s="6" t="s">
        <v>48</v>
      </c>
      <c r="D29" s="6" t="s">
        <v>106</v>
      </c>
      <c r="E29" s="3"/>
      <c r="F29" s="3"/>
      <c r="G29" s="3">
        <v>8</v>
      </c>
      <c r="H29" s="3"/>
      <c r="I29" s="3"/>
      <c r="J29" s="3"/>
      <c r="K29" s="3"/>
      <c r="L29" s="3"/>
      <c r="M29" s="3"/>
      <c r="N29" s="3"/>
      <c r="O29" s="3"/>
      <c r="P29" s="3"/>
      <c r="Q29" s="202"/>
    </row>
    <row r="30" spans="1:17" ht="21" customHeight="1">
      <c r="A30" s="198">
        <v>31</v>
      </c>
      <c r="B30" s="24" t="s">
        <v>102</v>
      </c>
      <c r="C30" s="10" t="s">
        <v>79</v>
      </c>
      <c r="D30" s="10" t="s">
        <v>101</v>
      </c>
      <c r="E30" s="93"/>
      <c r="F30" s="93">
        <v>24</v>
      </c>
      <c r="G30" s="119">
        <v>71</v>
      </c>
      <c r="H30" s="93"/>
      <c r="I30" s="93"/>
      <c r="J30" s="93"/>
      <c r="K30" s="93"/>
      <c r="L30" s="93"/>
      <c r="M30" s="93"/>
      <c r="N30" s="93"/>
      <c r="O30" s="93"/>
      <c r="P30" s="93"/>
      <c r="Q30" s="202"/>
    </row>
    <row r="31" spans="1:17" ht="21" customHeight="1">
      <c r="A31" s="198">
        <v>32</v>
      </c>
      <c r="B31" s="24" t="s">
        <v>103</v>
      </c>
      <c r="C31" s="24" t="s">
        <v>22</v>
      </c>
      <c r="D31" s="94" t="s">
        <v>23</v>
      </c>
      <c r="E31" s="93"/>
      <c r="F31" s="93"/>
      <c r="G31" s="119"/>
      <c r="H31" s="93"/>
      <c r="I31" s="93"/>
      <c r="J31" s="93">
        <v>8</v>
      </c>
      <c r="K31" s="93"/>
      <c r="L31" s="93"/>
      <c r="M31" s="93"/>
      <c r="N31" s="93"/>
      <c r="O31" s="93"/>
      <c r="P31" s="93"/>
      <c r="Q31" s="202"/>
    </row>
    <row r="32" spans="1:17">
      <c r="A32" s="198">
        <v>33</v>
      </c>
      <c r="B32" s="24" t="s">
        <v>50</v>
      </c>
      <c r="C32" s="187" t="s">
        <v>48</v>
      </c>
      <c r="D32" s="13" t="s">
        <v>49</v>
      </c>
      <c r="E32" s="3"/>
      <c r="F32" s="184"/>
      <c r="G32" s="46">
        <v>84</v>
      </c>
      <c r="H32" s="46"/>
      <c r="I32" s="46"/>
      <c r="J32" s="46">
        <v>7.5</v>
      </c>
      <c r="K32" s="46"/>
      <c r="L32" s="46"/>
      <c r="M32" s="46"/>
      <c r="N32" s="46"/>
      <c r="O32" s="46"/>
      <c r="P32" s="46">
        <v>1.5</v>
      </c>
      <c r="Q32" s="202"/>
    </row>
    <row r="33" spans="1:17">
      <c r="A33" s="198">
        <v>34</v>
      </c>
      <c r="B33" s="24" t="s">
        <v>50</v>
      </c>
      <c r="C33" s="187" t="s">
        <v>15</v>
      </c>
      <c r="D33" s="6" t="s">
        <v>44</v>
      </c>
      <c r="E33" s="3"/>
      <c r="F33" s="184"/>
      <c r="G33" s="46">
        <v>88</v>
      </c>
      <c r="H33" s="184"/>
      <c r="I33" s="184"/>
      <c r="J33" s="184"/>
      <c r="K33" s="184"/>
      <c r="L33" s="184"/>
      <c r="M33" s="46"/>
      <c r="N33" s="184"/>
      <c r="O33" s="184"/>
      <c r="P33" s="184"/>
      <c r="Q33" s="202"/>
    </row>
    <row r="34" spans="1:17" s="36" customFormat="1" ht="23.25" customHeight="1" thickBot="1">
      <c r="A34" s="198">
        <v>35</v>
      </c>
      <c r="B34" s="100" t="s">
        <v>51</v>
      </c>
      <c r="C34" s="203" t="s">
        <v>16</v>
      </c>
      <c r="D34" s="134" t="s">
        <v>37</v>
      </c>
      <c r="E34" s="203">
        <v>0</v>
      </c>
      <c r="F34" s="203">
        <v>92</v>
      </c>
      <c r="G34" s="203">
        <v>92</v>
      </c>
      <c r="H34" s="203">
        <v>0</v>
      </c>
      <c r="I34" s="203">
        <v>0</v>
      </c>
      <c r="J34" s="203">
        <v>0</v>
      </c>
      <c r="K34" s="203">
        <v>0</v>
      </c>
      <c r="L34" s="203">
        <v>0</v>
      </c>
      <c r="M34" s="203">
        <v>67.5</v>
      </c>
      <c r="N34" s="203">
        <v>0</v>
      </c>
      <c r="O34" s="203">
        <v>0</v>
      </c>
      <c r="P34" s="203">
        <v>22.5</v>
      </c>
      <c r="Q34" s="204"/>
    </row>
    <row r="35" spans="1:17">
      <c r="A35" s="197"/>
      <c r="B35" s="125"/>
      <c r="C35" s="122"/>
      <c r="D35" s="122"/>
      <c r="E35" s="121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3"/>
    </row>
    <row r="36" spans="1:17">
      <c r="A36" s="124"/>
      <c r="B36" s="126"/>
      <c r="Q36" s="72"/>
    </row>
    <row r="37" spans="1:17">
      <c r="A37" s="124"/>
      <c r="B37" s="126"/>
      <c r="Q37" s="72"/>
    </row>
    <row r="38" spans="1:17">
      <c r="A38" s="124"/>
      <c r="B38" s="126"/>
      <c r="Q38" s="72"/>
    </row>
    <row r="39" spans="1:17">
      <c r="A39" s="124"/>
      <c r="B39" s="126"/>
      <c r="Q39" s="72"/>
    </row>
    <row r="40" spans="1:17">
      <c r="A40" s="74"/>
      <c r="Q40" s="72"/>
    </row>
    <row r="41" spans="1:17">
      <c r="A41" s="74"/>
      <c r="Q41" s="72"/>
    </row>
    <row r="42" spans="1:17">
      <c r="A42" s="74"/>
      <c r="Q42" s="72"/>
    </row>
    <row r="43" spans="1:17">
      <c r="A43" s="74"/>
      <c r="Q43" s="72"/>
    </row>
    <row r="44" spans="1:17">
      <c r="A44" s="74"/>
      <c r="Q44" s="72"/>
    </row>
    <row r="45" spans="1:17">
      <c r="A45" s="74"/>
      <c r="Q45" s="72"/>
    </row>
    <row r="46" spans="1:17">
      <c r="A46" s="74"/>
      <c r="Q46" s="72"/>
    </row>
    <row r="47" spans="1:17">
      <c r="A47" s="74"/>
      <c r="Q47" s="72"/>
    </row>
    <row r="48" spans="1:17">
      <c r="A48" s="74"/>
      <c r="Q48" s="72"/>
    </row>
    <row r="49" spans="1:17">
      <c r="A49" s="74"/>
      <c r="Q49" s="72"/>
    </row>
    <row r="50" spans="1:17">
      <c r="A50" s="74"/>
      <c r="Q50" s="72"/>
    </row>
    <row r="51" spans="1:17">
      <c r="A51" s="74"/>
      <c r="Q51" s="72"/>
    </row>
    <row r="52" spans="1:17">
      <c r="A52" s="74"/>
      <c r="Q52" s="72"/>
    </row>
    <row r="53" spans="1:17">
      <c r="A53" s="74"/>
      <c r="Q53" s="72"/>
    </row>
    <row r="54" spans="1:17">
      <c r="A54" s="74"/>
      <c r="Q54" s="72"/>
    </row>
    <row r="55" spans="1:17">
      <c r="A55" s="74"/>
      <c r="Q55" s="72"/>
    </row>
    <row r="56" spans="1:17">
      <c r="A56" s="74"/>
      <c r="Q56" s="72"/>
    </row>
    <row r="57" spans="1:17">
      <c r="A57" s="74"/>
      <c r="Q57" s="72"/>
    </row>
    <row r="58" spans="1:17">
      <c r="A58" s="74"/>
      <c r="Q58" s="72"/>
    </row>
    <row r="59" spans="1:17">
      <c r="A59" s="74"/>
      <c r="Q59" s="72"/>
    </row>
    <row r="60" spans="1:17">
      <c r="A60" s="74"/>
      <c r="Q60" s="72"/>
    </row>
    <row r="61" spans="1:17">
      <c r="A61" s="74"/>
      <c r="Q61" s="72"/>
    </row>
    <row r="62" spans="1:17">
      <c r="A62" s="74"/>
      <c r="Q62" s="72"/>
    </row>
    <row r="63" spans="1:17">
      <c r="A63" s="74"/>
      <c r="Q63" s="72"/>
    </row>
    <row r="64" spans="1:17">
      <c r="A64" s="74"/>
      <c r="Q64" s="72"/>
    </row>
    <row r="65" spans="1:17">
      <c r="A65" s="74"/>
      <c r="Q65" s="72"/>
    </row>
    <row r="66" spans="1:17">
      <c r="A66" s="74"/>
      <c r="Q66" s="72"/>
    </row>
    <row r="67" spans="1:17">
      <c r="A67" s="74"/>
      <c r="Q67" s="72"/>
    </row>
    <row r="68" spans="1:17">
      <c r="A68" s="74"/>
      <c r="Q68" s="72"/>
    </row>
    <row r="69" spans="1:17">
      <c r="A69" s="74"/>
      <c r="Q69" s="72"/>
    </row>
    <row r="70" spans="1:17">
      <c r="A70" s="74"/>
      <c r="Q70" s="72"/>
    </row>
    <row r="71" spans="1:17">
      <c r="A71" s="74"/>
      <c r="Q71" s="72"/>
    </row>
    <row r="72" spans="1:17">
      <c r="A72" s="74"/>
      <c r="Q72" s="72"/>
    </row>
    <row r="73" spans="1:17">
      <c r="A73" s="74"/>
      <c r="Q73" s="72"/>
    </row>
    <row r="74" spans="1:17">
      <c r="A74" s="74"/>
      <c r="Q74" s="72"/>
    </row>
    <row r="75" spans="1:17">
      <c r="A75" s="74"/>
      <c r="Q75" s="72"/>
    </row>
    <row r="76" spans="1:17">
      <c r="A76" s="74"/>
      <c r="Q76" s="72"/>
    </row>
    <row r="77" spans="1:17">
      <c r="A77" s="74"/>
      <c r="Q77" s="72"/>
    </row>
    <row r="78" spans="1:17">
      <c r="A78" s="74"/>
      <c r="Q78" s="72"/>
    </row>
    <row r="79" spans="1:17">
      <c r="A79" s="74"/>
      <c r="Q79" s="72"/>
    </row>
    <row r="80" spans="1:17">
      <c r="A80" s="74"/>
      <c r="Q80" s="72"/>
    </row>
    <row r="81" spans="1:17">
      <c r="A81" s="74"/>
      <c r="Q81" s="72"/>
    </row>
    <row r="82" spans="1:17">
      <c r="A82" s="74"/>
      <c r="Q82" s="72"/>
    </row>
    <row r="83" spans="1:17">
      <c r="A83" s="74"/>
      <c r="Q83" s="72"/>
    </row>
    <row r="84" spans="1:17">
      <c r="A84" s="74"/>
      <c r="Q84" s="72"/>
    </row>
    <row r="85" spans="1:17">
      <c r="A85" s="74"/>
      <c r="Q85" s="72"/>
    </row>
    <row r="86" spans="1:17">
      <c r="A86" s="74"/>
      <c r="Q86" s="72"/>
    </row>
    <row r="87" spans="1:17">
      <c r="A87" s="74"/>
      <c r="Q87" s="72"/>
    </row>
    <row r="88" spans="1:17">
      <c r="A88" s="74"/>
      <c r="Q88" s="72"/>
    </row>
    <row r="89" spans="1:17">
      <c r="A89" s="74"/>
      <c r="Q89" s="72"/>
    </row>
    <row r="90" spans="1:17">
      <c r="A90" s="74"/>
      <c r="Q90" s="72"/>
    </row>
    <row r="91" spans="1:17">
      <c r="A91" s="74"/>
      <c r="Q91" s="72"/>
    </row>
    <row r="92" spans="1:17">
      <c r="A92" s="74"/>
      <c r="Q92" s="72"/>
    </row>
    <row r="93" spans="1:17">
      <c r="A93" s="74"/>
      <c r="Q93" s="72"/>
    </row>
    <row r="94" spans="1:17">
      <c r="A94" s="74"/>
      <c r="Q94" s="72"/>
    </row>
    <row r="95" spans="1:17">
      <c r="A95" s="74"/>
      <c r="Q95" s="72"/>
    </row>
    <row r="96" spans="1:17">
      <c r="A96" s="74"/>
      <c r="Q96" s="72"/>
    </row>
    <row r="97" spans="1:17">
      <c r="A97" s="74"/>
      <c r="Q97" s="72"/>
    </row>
    <row r="98" spans="1:17">
      <c r="A98" s="74"/>
      <c r="Q98" s="72"/>
    </row>
    <row r="99" spans="1:17">
      <c r="A99" s="74"/>
      <c r="Q99" s="72"/>
    </row>
    <row r="100" spans="1:17">
      <c r="A100" s="74"/>
      <c r="Q100" s="72"/>
    </row>
    <row r="101" spans="1:17">
      <c r="A101" s="74"/>
      <c r="Q101" s="72"/>
    </row>
    <row r="102" spans="1:17">
      <c r="A102" s="74"/>
      <c r="Q102" s="72"/>
    </row>
    <row r="103" spans="1:17">
      <c r="A103" s="74"/>
      <c r="Q103" s="72"/>
    </row>
    <row r="104" spans="1:17">
      <c r="A104" s="74"/>
      <c r="Q104" s="72"/>
    </row>
    <row r="105" spans="1:17">
      <c r="A105" s="74"/>
      <c r="Q105" s="72"/>
    </row>
    <row r="106" spans="1:17">
      <c r="A106" s="74"/>
      <c r="Q106" s="72"/>
    </row>
    <row r="107" spans="1:17">
      <c r="A107" s="74"/>
      <c r="Q107" s="72"/>
    </row>
    <row r="108" spans="1:17">
      <c r="A108" s="74"/>
      <c r="Q108" s="72"/>
    </row>
    <row r="109" spans="1:17">
      <c r="A109" s="74"/>
      <c r="Q109" s="72"/>
    </row>
    <row r="110" spans="1:17">
      <c r="A110" s="74"/>
      <c r="Q110" s="72"/>
    </row>
    <row r="111" spans="1:17">
      <c r="A111" s="74"/>
      <c r="Q111" s="72"/>
    </row>
    <row r="112" spans="1:17">
      <c r="A112" s="74"/>
      <c r="Q112" s="72"/>
    </row>
    <row r="113" spans="1:17">
      <c r="A113" s="74"/>
      <c r="Q113" s="72"/>
    </row>
    <row r="114" spans="1:17">
      <c r="A114" s="74"/>
      <c r="Q114" s="72"/>
    </row>
    <row r="115" spans="1:17">
      <c r="A115" s="74"/>
      <c r="Q115" s="72"/>
    </row>
    <row r="116" spans="1:17">
      <c r="A116" s="74"/>
      <c r="Q116" s="72"/>
    </row>
    <row r="117" spans="1:17">
      <c r="A117" s="74"/>
      <c r="Q117" s="72"/>
    </row>
    <row r="118" spans="1:17">
      <c r="A118" s="74"/>
      <c r="Q118" s="72"/>
    </row>
    <row r="119" spans="1:17">
      <c r="A119" s="74"/>
      <c r="Q119" s="72"/>
    </row>
    <row r="120" spans="1:17">
      <c r="A120" s="74"/>
      <c r="Q120" s="72"/>
    </row>
    <row r="121" spans="1:17">
      <c r="A121" s="74"/>
      <c r="Q121" s="72"/>
    </row>
    <row r="122" spans="1:17">
      <c r="A122" s="74"/>
      <c r="Q122" s="72"/>
    </row>
    <row r="123" spans="1:17">
      <c r="A123" s="74"/>
      <c r="Q123" s="72"/>
    </row>
    <row r="124" spans="1:17">
      <c r="A124" s="74"/>
      <c r="Q124" s="72"/>
    </row>
    <row r="125" spans="1:17">
      <c r="A125" s="74"/>
      <c r="Q125" s="72"/>
    </row>
    <row r="126" spans="1:17">
      <c r="A126" s="74"/>
      <c r="Q126" s="72"/>
    </row>
    <row r="127" spans="1:17">
      <c r="A127" s="74"/>
      <c r="Q127" s="72"/>
    </row>
    <row r="128" spans="1:17">
      <c r="A128" s="74"/>
      <c r="Q128" s="72"/>
    </row>
    <row r="129" spans="1:17" ht="15" thickBot="1">
      <c r="A129" s="75"/>
      <c r="B129" s="76"/>
      <c r="C129" s="77"/>
      <c r="D129" s="77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8"/>
    </row>
  </sheetData>
  <mergeCells count="8">
    <mergeCell ref="E1:G1"/>
    <mergeCell ref="H1:J1"/>
    <mergeCell ref="K1:M1"/>
    <mergeCell ref="N1:P1"/>
    <mergeCell ref="A1:A2"/>
    <mergeCell ref="B1:B2"/>
    <mergeCell ref="C1:C2"/>
    <mergeCell ref="D1:D2"/>
  </mergeCells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9" tint="-0.499984740745262"/>
  </sheetPr>
  <dimension ref="A1:O22"/>
  <sheetViews>
    <sheetView tabSelected="1" workbookViewId="0">
      <selection activeCell="D29" sqref="D29"/>
    </sheetView>
  </sheetViews>
  <sheetFormatPr defaultColWidth="9" defaultRowHeight="14.25"/>
  <cols>
    <col min="2" max="2" width="20.375" customWidth="1"/>
    <col min="3" max="3" width="27.375" customWidth="1"/>
    <col min="4" max="4" width="5.875" customWidth="1"/>
    <col min="5" max="5" width="7.25" customWidth="1"/>
    <col min="6" max="6" width="6.375" customWidth="1"/>
    <col min="7" max="7" width="5.75" customWidth="1"/>
    <col min="8" max="8" width="5.875" customWidth="1"/>
    <col min="9" max="9" width="5.75" customWidth="1"/>
    <col min="10" max="11" width="6.75" customWidth="1"/>
    <col min="12" max="12" width="6.25" customWidth="1"/>
    <col min="13" max="13" width="5.125" customWidth="1"/>
    <col min="14" max="14" width="5.5" customWidth="1"/>
    <col min="15" max="15" width="6.125" customWidth="1"/>
  </cols>
  <sheetData>
    <row r="1" spans="1:15" ht="24" customHeight="1">
      <c r="A1" s="216" t="s">
        <v>133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</row>
    <row r="2" spans="1:15">
      <c r="A2" s="217" t="s">
        <v>0</v>
      </c>
      <c r="B2" s="217" t="s">
        <v>2</v>
      </c>
      <c r="C2" s="217" t="s">
        <v>3</v>
      </c>
      <c r="D2" s="217" t="s">
        <v>26</v>
      </c>
      <c r="E2" s="217"/>
      <c r="F2" s="217"/>
      <c r="G2" s="217" t="s">
        <v>27</v>
      </c>
      <c r="H2" s="217"/>
      <c r="I2" s="217"/>
      <c r="J2" s="217" t="s">
        <v>28</v>
      </c>
      <c r="K2" s="217"/>
      <c r="L2" s="217"/>
      <c r="M2" s="217" t="s">
        <v>29</v>
      </c>
      <c r="N2" s="217"/>
      <c r="O2" s="217"/>
    </row>
    <row r="3" spans="1:15">
      <c r="A3" s="217"/>
      <c r="B3" s="217"/>
      <c r="C3" s="217"/>
      <c r="D3" s="1" t="s">
        <v>9</v>
      </c>
      <c r="E3" s="1" t="s">
        <v>10</v>
      </c>
      <c r="F3" s="1" t="s">
        <v>11</v>
      </c>
      <c r="G3" s="1" t="s">
        <v>9</v>
      </c>
      <c r="H3" s="1" t="s">
        <v>10</v>
      </c>
      <c r="I3" s="1" t="s">
        <v>11</v>
      </c>
      <c r="J3" s="1" t="s">
        <v>9</v>
      </c>
      <c r="K3" s="1" t="s">
        <v>10</v>
      </c>
      <c r="L3" s="1" t="s">
        <v>11</v>
      </c>
      <c r="M3" s="1" t="s">
        <v>9</v>
      </c>
      <c r="N3" s="1" t="s">
        <v>10</v>
      </c>
      <c r="O3" s="1" t="s">
        <v>11</v>
      </c>
    </row>
    <row r="4" spans="1:15">
      <c r="A4" s="73">
        <v>1</v>
      </c>
      <c r="B4" s="91" t="s">
        <v>118</v>
      </c>
      <c r="C4" s="109" t="s">
        <v>119</v>
      </c>
      <c r="D4" s="2"/>
      <c r="F4" s="10"/>
      <c r="G4" s="5"/>
      <c r="H4" s="205">
        <v>8</v>
      </c>
      <c r="I4" s="89">
        <v>36</v>
      </c>
      <c r="J4" s="5"/>
      <c r="K4" s="5"/>
      <c r="L4" s="5"/>
      <c r="M4" s="5"/>
      <c r="N4" s="5"/>
      <c r="O4" s="3"/>
    </row>
    <row r="5" spans="1:15">
      <c r="A5" s="73">
        <v>2</v>
      </c>
      <c r="B5" s="43" t="s">
        <v>120</v>
      </c>
      <c r="C5" s="43" t="s">
        <v>121</v>
      </c>
      <c r="D5" s="2"/>
      <c r="E5" s="3"/>
      <c r="F5" s="10"/>
      <c r="G5" s="3"/>
      <c r="H5" s="46">
        <v>20</v>
      </c>
      <c r="I5" s="89">
        <v>72</v>
      </c>
      <c r="J5" s="3"/>
      <c r="K5" s="3"/>
      <c r="L5" s="3"/>
      <c r="M5" s="3"/>
      <c r="N5" s="3"/>
      <c r="O5" s="3"/>
    </row>
    <row r="6" spans="1:15">
      <c r="A6" s="10">
        <v>3</v>
      </c>
      <c r="B6" s="43" t="s">
        <v>122</v>
      </c>
      <c r="C6" s="43" t="s">
        <v>123</v>
      </c>
      <c r="D6" s="10"/>
      <c r="E6" s="10"/>
      <c r="F6" s="10"/>
      <c r="G6" s="5"/>
      <c r="H6" s="46">
        <v>8</v>
      </c>
      <c r="I6" s="46">
        <v>40</v>
      </c>
      <c r="J6" s="5"/>
      <c r="K6" s="5"/>
      <c r="L6" s="5"/>
      <c r="M6" s="5"/>
      <c r="N6" s="5"/>
      <c r="O6" s="5"/>
    </row>
    <row r="7" spans="1:15">
      <c r="A7" s="10"/>
      <c r="B7" s="6"/>
      <c r="C7" s="6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1:15">
      <c r="A8" s="10"/>
      <c r="B8" s="6"/>
      <c r="C8" s="6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1:15">
      <c r="A9" s="10"/>
      <c r="B9" s="6"/>
      <c r="C9" s="6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1:15">
      <c r="A10" s="10"/>
      <c r="B10" s="6"/>
      <c r="C10" s="6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1:15">
      <c r="A11" s="10"/>
      <c r="B11" s="6"/>
      <c r="C11" s="6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1:15">
      <c r="A12" s="10"/>
      <c r="B12" s="6"/>
      <c r="C12" s="6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1:15">
      <c r="A13" s="10"/>
      <c r="B13" s="6"/>
      <c r="C13" s="6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1:15">
      <c r="A14" s="10"/>
      <c r="B14" s="6"/>
      <c r="C14" s="6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1:15">
      <c r="A15" s="10"/>
      <c r="B15" s="6"/>
      <c r="C15" s="6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1:15">
      <c r="A16" s="10"/>
      <c r="B16" s="6"/>
      <c r="C16" s="6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1:15">
      <c r="A17" s="10"/>
      <c r="B17" s="6"/>
      <c r="C17" s="6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>
      <c r="A18" s="10"/>
      <c r="B18" s="6"/>
      <c r="C18" s="6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1:15">
      <c r="A19" s="10"/>
      <c r="B19" s="6"/>
      <c r="C19" s="6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1:15">
      <c r="A20" s="10"/>
      <c r="B20" s="6"/>
      <c r="C20" s="6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1:15">
      <c r="A21" s="10"/>
      <c r="B21" s="6"/>
      <c r="C21" s="6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1:15">
      <c r="A22" s="10"/>
      <c r="B22" s="6"/>
      <c r="C22" s="6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</sheetData>
  <mergeCells count="8">
    <mergeCell ref="A1:O1"/>
    <mergeCell ref="D2:F2"/>
    <mergeCell ref="G2:I2"/>
    <mergeCell ref="J2:L2"/>
    <mergeCell ref="M2:O2"/>
    <mergeCell ref="A2:A3"/>
    <mergeCell ref="B2:B3"/>
    <mergeCell ref="C2:C3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-0.499984740745262"/>
  </sheetPr>
  <dimension ref="A1:O19"/>
  <sheetViews>
    <sheetView workbookViewId="0">
      <selection activeCell="D27" sqref="D27"/>
    </sheetView>
  </sheetViews>
  <sheetFormatPr defaultColWidth="9" defaultRowHeight="14.25"/>
  <cols>
    <col min="2" max="2" width="18.75" customWidth="1"/>
    <col min="3" max="3" width="27.375" customWidth="1"/>
    <col min="4" max="4" width="5.875" customWidth="1"/>
    <col min="5" max="5" width="7.25" customWidth="1"/>
    <col min="6" max="6" width="6.375" customWidth="1"/>
    <col min="7" max="7" width="5.75" customWidth="1"/>
    <col min="8" max="8" width="5.875" customWidth="1"/>
    <col min="9" max="9" width="5.75" customWidth="1"/>
    <col min="10" max="11" width="6.75" customWidth="1"/>
    <col min="12" max="12" width="6.25" customWidth="1"/>
    <col min="13" max="13" width="5.125" customWidth="1"/>
    <col min="14" max="14" width="5.5" customWidth="1"/>
    <col min="15" max="15" width="6.125" customWidth="1"/>
  </cols>
  <sheetData>
    <row r="1" spans="1:15" ht="24" customHeight="1" thickTop="1" thickBot="1">
      <c r="A1" s="218" t="s">
        <v>132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9"/>
    </row>
    <row r="2" spans="1:15" ht="15" thickTop="1">
      <c r="A2" s="225" t="s">
        <v>0</v>
      </c>
      <c r="B2" s="227" t="s">
        <v>2</v>
      </c>
      <c r="C2" s="228" t="s">
        <v>3</v>
      </c>
      <c r="D2" s="220" t="s">
        <v>26</v>
      </c>
      <c r="E2" s="220"/>
      <c r="F2" s="221"/>
      <c r="G2" s="222" t="s">
        <v>27</v>
      </c>
      <c r="H2" s="223"/>
      <c r="I2" s="224"/>
      <c r="J2" s="222" t="s">
        <v>28</v>
      </c>
      <c r="K2" s="223"/>
      <c r="L2" s="224"/>
      <c r="M2" s="222" t="s">
        <v>29</v>
      </c>
      <c r="N2" s="223"/>
      <c r="O2" s="224"/>
    </row>
    <row r="3" spans="1:15">
      <c r="A3" s="226"/>
      <c r="B3" s="223"/>
      <c r="C3" s="224"/>
      <c r="D3" s="40" t="s">
        <v>9</v>
      </c>
      <c r="E3" s="1" t="s">
        <v>10</v>
      </c>
      <c r="F3" s="79" t="s">
        <v>11</v>
      </c>
      <c r="G3" s="40" t="s">
        <v>9</v>
      </c>
      <c r="H3" s="1" t="s">
        <v>10</v>
      </c>
      <c r="I3" s="41" t="s">
        <v>11</v>
      </c>
      <c r="J3" s="40" t="s">
        <v>9</v>
      </c>
      <c r="K3" s="1" t="s">
        <v>10</v>
      </c>
      <c r="L3" s="41" t="s">
        <v>11</v>
      </c>
      <c r="M3" s="40" t="s">
        <v>9</v>
      </c>
      <c r="N3" s="1" t="s">
        <v>10</v>
      </c>
      <c r="O3" s="41" t="s">
        <v>11</v>
      </c>
    </row>
    <row r="4" spans="1:15">
      <c r="A4" s="182">
        <v>1</v>
      </c>
      <c r="B4" s="113" t="s">
        <v>48</v>
      </c>
      <c r="C4" s="114" t="s">
        <v>49</v>
      </c>
      <c r="D4" s="2"/>
      <c r="E4" s="183"/>
      <c r="F4" s="48">
        <v>84</v>
      </c>
      <c r="G4" s="49"/>
      <c r="H4" s="46"/>
      <c r="I4" s="48">
        <v>7.5</v>
      </c>
      <c r="J4" s="49"/>
      <c r="K4" s="46"/>
      <c r="L4" s="48"/>
      <c r="M4" s="49"/>
      <c r="N4" s="46"/>
      <c r="O4" s="48">
        <v>1.5</v>
      </c>
    </row>
    <row r="5" spans="1:15">
      <c r="A5" s="182">
        <v>2</v>
      </c>
      <c r="B5" s="113" t="s">
        <v>15</v>
      </c>
      <c r="C5" s="16" t="s">
        <v>44</v>
      </c>
      <c r="D5" s="2"/>
      <c r="E5" s="184"/>
      <c r="F5" s="48">
        <v>88</v>
      </c>
      <c r="G5" s="185"/>
      <c r="H5" s="184"/>
      <c r="I5" s="186"/>
      <c r="J5" s="185"/>
      <c r="K5" s="184"/>
      <c r="L5" s="48"/>
      <c r="M5" s="185"/>
      <c r="N5" s="184"/>
      <c r="O5" s="186"/>
    </row>
    <row r="6" spans="1:15">
      <c r="A6" s="8">
        <v>3</v>
      </c>
      <c r="B6" s="9"/>
      <c r="C6" s="16"/>
      <c r="D6" s="2"/>
      <c r="E6" s="3"/>
      <c r="F6" s="115"/>
      <c r="G6" s="116"/>
      <c r="H6" s="117"/>
      <c r="I6" s="118"/>
      <c r="J6" s="116"/>
      <c r="K6" s="117"/>
      <c r="L6" s="115"/>
      <c r="M6" s="116"/>
      <c r="N6" s="117"/>
      <c r="O6" s="118"/>
    </row>
    <row r="7" spans="1:15">
      <c r="A7" s="8"/>
      <c r="B7" s="6"/>
      <c r="C7" s="16"/>
      <c r="D7" s="2"/>
      <c r="E7" s="3"/>
      <c r="F7" s="7"/>
      <c r="G7" s="2"/>
      <c r="H7" s="3"/>
      <c r="I7" s="7"/>
      <c r="J7" s="2"/>
      <c r="K7" s="3"/>
      <c r="L7" s="7"/>
      <c r="M7" s="2"/>
      <c r="N7" s="3"/>
      <c r="O7" s="7"/>
    </row>
    <row r="8" spans="1:15">
      <c r="A8" s="8"/>
      <c r="B8" s="6"/>
      <c r="C8" s="16"/>
      <c r="D8" s="2"/>
      <c r="E8" s="3"/>
      <c r="F8" s="7"/>
      <c r="G8" s="2"/>
      <c r="H8" s="3"/>
      <c r="I8" s="7"/>
      <c r="J8" s="2"/>
      <c r="K8" s="3"/>
      <c r="L8" s="7"/>
      <c r="M8" s="2"/>
      <c r="N8" s="3"/>
      <c r="O8" s="7"/>
    </row>
    <row r="9" spans="1:15">
      <c r="A9" s="8"/>
      <c r="B9" s="6"/>
      <c r="C9" s="16"/>
      <c r="D9" s="2"/>
      <c r="E9" s="3"/>
      <c r="F9" s="7"/>
      <c r="G9" s="2"/>
      <c r="H9" s="3"/>
      <c r="I9" s="7"/>
      <c r="J9" s="2"/>
      <c r="K9" s="3"/>
      <c r="L9" s="7"/>
      <c r="M9" s="2"/>
      <c r="N9" s="3"/>
      <c r="O9" s="7"/>
    </row>
    <row r="10" spans="1:15">
      <c r="A10" s="8"/>
      <c r="B10" s="6"/>
      <c r="C10" s="16"/>
      <c r="D10" s="2"/>
      <c r="E10" s="3"/>
      <c r="F10" s="7"/>
      <c r="G10" s="2"/>
      <c r="H10" s="3"/>
      <c r="I10" s="7"/>
      <c r="J10" s="2"/>
      <c r="K10" s="3"/>
      <c r="L10" s="7"/>
      <c r="M10" s="2"/>
      <c r="N10" s="3"/>
      <c r="O10" s="7"/>
    </row>
    <row r="11" spans="1:15">
      <c r="A11" s="8"/>
      <c r="B11" s="6"/>
      <c r="C11" s="16"/>
      <c r="D11" s="2"/>
      <c r="E11" s="3"/>
      <c r="F11" s="7"/>
      <c r="G11" s="2"/>
      <c r="H11" s="3"/>
      <c r="I11" s="7"/>
      <c r="J11" s="2"/>
      <c r="K11" s="3"/>
      <c r="L11" s="7"/>
      <c r="M11" s="2"/>
      <c r="N11" s="3"/>
      <c r="O11" s="7"/>
    </row>
    <row r="12" spans="1:15">
      <c r="A12" s="8"/>
      <c r="B12" s="6"/>
      <c r="C12" s="16"/>
      <c r="D12" s="2"/>
      <c r="E12" s="3"/>
      <c r="F12" s="7"/>
      <c r="G12" s="2"/>
      <c r="H12" s="3"/>
      <c r="I12" s="7"/>
      <c r="J12" s="2"/>
      <c r="K12" s="3"/>
      <c r="L12" s="7"/>
      <c r="M12" s="2"/>
      <c r="N12" s="3"/>
      <c r="O12" s="7"/>
    </row>
    <row r="13" spans="1:15">
      <c r="A13" s="8"/>
      <c r="B13" s="6"/>
      <c r="C13" s="16"/>
      <c r="D13" s="2"/>
      <c r="E13" s="3"/>
      <c r="F13" s="7"/>
      <c r="G13" s="2"/>
      <c r="H13" s="3"/>
      <c r="I13" s="7"/>
      <c r="J13" s="2"/>
      <c r="K13" s="3"/>
      <c r="L13" s="7"/>
      <c r="M13" s="2"/>
      <c r="N13" s="3"/>
      <c r="O13" s="7"/>
    </row>
    <row r="14" spans="1:15">
      <c r="A14" s="8"/>
      <c r="B14" s="6"/>
      <c r="C14" s="16"/>
      <c r="D14" s="2"/>
      <c r="E14" s="3"/>
      <c r="F14" s="7"/>
      <c r="G14" s="2"/>
      <c r="H14" s="3"/>
      <c r="I14" s="7"/>
      <c r="J14" s="2"/>
      <c r="K14" s="3"/>
      <c r="L14" s="7"/>
      <c r="M14" s="2"/>
      <c r="N14" s="3"/>
      <c r="O14" s="7"/>
    </row>
    <row r="15" spans="1:15">
      <c r="A15" s="8"/>
      <c r="B15" s="6"/>
      <c r="C15" s="16"/>
      <c r="D15" s="2"/>
      <c r="E15" s="3"/>
      <c r="F15" s="7"/>
      <c r="G15" s="2"/>
      <c r="H15" s="3"/>
      <c r="I15" s="7"/>
      <c r="J15" s="2"/>
      <c r="K15" s="3"/>
      <c r="L15" s="7"/>
      <c r="M15" s="2"/>
      <c r="N15" s="3"/>
      <c r="O15" s="7"/>
    </row>
    <row r="16" spans="1:15">
      <c r="A16" s="8"/>
      <c r="B16" s="6"/>
      <c r="C16" s="16"/>
      <c r="D16" s="2"/>
      <c r="E16" s="3"/>
      <c r="F16" s="7"/>
      <c r="G16" s="2"/>
      <c r="H16" s="3"/>
      <c r="I16" s="7"/>
      <c r="J16" s="2"/>
      <c r="K16" s="3"/>
      <c r="L16" s="7"/>
      <c r="M16" s="2"/>
      <c r="N16" s="3"/>
      <c r="O16" s="7"/>
    </row>
    <row r="17" spans="1:15">
      <c r="A17" s="8"/>
      <c r="B17" s="6"/>
      <c r="C17" s="16"/>
      <c r="D17" s="2"/>
      <c r="E17" s="3"/>
      <c r="F17" s="7"/>
      <c r="G17" s="2"/>
      <c r="H17" s="3"/>
      <c r="I17" s="7"/>
      <c r="J17" s="2"/>
      <c r="K17" s="3"/>
      <c r="L17" s="7"/>
      <c r="M17" s="2"/>
      <c r="N17" s="3"/>
      <c r="O17" s="7"/>
    </row>
    <row r="18" spans="1:15">
      <c r="A18" s="8"/>
      <c r="B18" s="6"/>
      <c r="C18" s="16"/>
      <c r="D18" s="2"/>
      <c r="E18" s="3"/>
      <c r="F18" s="7"/>
      <c r="G18" s="2"/>
      <c r="H18" s="3"/>
      <c r="I18" s="7"/>
      <c r="J18" s="2"/>
      <c r="K18" s="3"/>
      <c r="L18" s="7"/>
      <c r="M18" s="2"/>
      <c r="N18" s="3"/>
      <c r="O18" s="7"/>
    </row>
    <row r="19" spans="1:15" ht="15" thickBot="1">
      <c r="A19" s="14"/>
      <c r="B19" s="80"/>
      <c r="C19" s="81"/>
      <c r="D19" s="82"/>
      <c r="E19" s="83"/>
      <c r="F19" s="84"/>
      <c r="G19" s="82"/>
      <c r="H19" s="83"/>
      <c r="I19" s="84"/>
      <c r="J19" s="82"/>
      <c r="K19" s="83"/>
      <c r="L19" s="84"/>
      <c r="M19" s="82"/>
      <c r="N19" s="83"/>
      <c r="O19" s="84"/>
    </row>
  </sheetData>
  <mergeCells count="8">
    <mergeCell ref="A1:O1"/>
    <mergeCell ref="D2:F2"/>
    <mergeCell ref="G2:I2"/>
    <mergeCell ref="J2:L2"/>
    <mergeCell ref="M2:O2"/>
    <mergeCell ref="A2:A3"/>
    <mergeCell ref="B2:B3"/>
    <mergeCell ref="C2:C3"/>
  </mergeCells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9" tint="-0.499984740745262"/>
  </sheetPr>
  <dimension ref="A1:O6"/>
  <sheetViews>
    <sheetView workbookViewId="0">
      <selection activeCell="C19" sqref="C19"/>
    </sheetView>
  </sheetViews>
  <sheetFormatPr defaultColWidth="9" defaultRowHeight="14.25"/>
  <cols>
    <col min="2" max="2" width="19.125" customWidth="1"/>
    <col min="3" max="3" width="36" customWidth="1"/>
    <col min="4" max="4" width="5.875" customWidth="1"/>
    <col min="5" max="5" width="7.25" customWidth="1"/>
    <col min="6" max="6" width="6.375" customWidth="1"/>
    <col min="7" max="7" width="5.75" customWidth="1"/>
    <col min="8" max="8" width="5.875" customWidth="1"/>
    <col min="9" max="9" width="5.75" customWidth="1"/>
    <col min="10" max="11" width="6.75" customWidth="1"/>
    <col min="12" max="12" width="6.25" customWidth="1"/>
    <col min="13" max="13" width="5.125" customWidth="1"/>
    <col min="14" max="14" width="5.5" customWidth="1"/>
    <col min="15" max="15" width="6.125" customWidth="1"/>
  </cols>
  <sheetData>
    <row r="1" spans="1:15" ht="24" customHeight="1" thickTop="1" thickBot="1">
      <c r="A1" s="229" t="s">
        <v>131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30"/>
    </row>
    <row r="2" spans="1:15">
      <c r="A2" s="237" t="s">
        <v>0</v>
      </c>
      <c r="B2" s="239" t="s">
        <v>2</v>
      </c>
      <c r="C2" s="240" t="s">
        <v>3</v>
      </c>
      <c r="D2" s="231" t="s">
        <v>26</v>
      </c>
      <c r="E2" s="231"/>
      <c r="F2" s="232"/>
      <c r="G2" s="233" t="s">
        <v>27</v>
      </c>
      <c r="H2" s="234"/>
      <c r="I2" s="235"/>
      <c r="J2" s="233" t="s">
        <v>28</v>
      </c>
      <c r="K2" s="234"/>
      <c r="L2" s="235"/>
      <c r="M2" s="233" t="s">
        <v>29</v>
      </c>
      <c r="N2" s="234"/>
      <c r="O2" s="236"/>
    </row>
    <row r="3" spans="1:15">
      <c r="A3" s="238"/>
      <c r="B3" s="223"/>
      <c r="C3" s="224"/>
      <c r="D3" s="40" t="s">
        <v>9</v>
      </c>
      <c r="E3" s="106" t="s">
        <v>10</v>
      </c>
      <c r="F3" s="79" t="s">
        <v>11</v>
      </c>
      <c r="G3" s="40" t="s">
        <v>9</v>
      </c>
      <c r="H3" s="106" t="s">
        <v>10</v>
      </c>
      <c r="I3" s="41" t="s">
        <v>11</v>
      </c>
      <c r="J3" s="40" t="s">
        <v>9</v>
      </c>
      <c r="K3" s="106" t="s">
        <v>10</v>
      </c>
      <c r="L3" s="41" t="s">
        <v>11</v>
      </c>
      <c r="M3" s="40" t="s">
        <v>9</v>
      </c>
      <c r="N3" s="106" t="s">
        <v>10</v>
      </c>
      <c r="O3" s="22" t="s">
        <v>11</v>
      </c>
    </row>
    <row r="4" spans="1:15">
      <c r="A4" s="23">
        <v>1</v>
      </c>
      <c r="B4" s="46" t="s">
        <v>109</v>
      </c>
      <c r="C4" s="48" t="s">
        <v>110</v>
      </c>
      <c r="D4" s="40"/>
      <c r="E4" s="135">
        <v>72</v>
      </c>
      <c r="F4" s="136"/>
      <c r="G4" s="40"/>
      <c r="H4" s="135"/>
      <c r="I4" s="41"/>
      <c r="J4" s="40"/>
      <c r="K4" s="135"/>
      <c r="L4" s="41">
        <v>52.5</v>
      </c>
      <c r="M4" s="40"/>
      <c r="N4" s="135"/>
      <c r="O4" s="41"/>
    </row>
    <row r="5" spans="1:15">
      <c r="A5" s="23">
        <v>2</v>
      </c>
      <c r="B5" s="46" t="s">
        <v>111</v>
      </c>
      <c r="C5" s="48" t="s">
        <v>112</v>
      </c>
      <c r="D5" s="40"/>
      <c r="E5" s="135"/>
      <c r="F5" s="136"/>
      <c r="G5" s="40"/>
      <c r="H5" s="40"/>
      <c r="I5" s="189">
        <v>112</v>
      </c>
      <c r="J5" s="40"/>
      <c r="K5" s="40"/>
      <c r="L5" s="189"/>
      <c r="M5" s="40"/>
      <c r="N5" s="135"/>
      <c r="O5" s="41"/>
    </row>
    <row r="6" spans="1:15" ht="15" thickBot="1">
      <c r="A6" s="120">
        <v>3</v>
      </c>
      <c r="B6" s="46" t="s">
        <v>113</v>
      </c>
      <c r="C6" s="48" t="s">
        <v>114</v>
      </c>
      <c r="D6" s="2"/>
      <c r="E6" s="3"/>
      <c r="F6" s="7">
        <v>34.54</v>
      </c>
      <c r="G6" s="2"/>
      <c r="H6" s="2"/>
      <c r="I6" s="2"/>
      <c r="J6" s="2"/>
      <c r="K6" s="2"/>
      <c r="L6" s="2"/>
      <c r="M6" s="2"/>
      <c r="N6" s="3"/>
      <c r="O6" s="7"/>
    </row>
  </sheetData>
  <mergeCells count="8">
    <mergeCell ref="A1:O1"/>
    <mergeCell ref="D2:F2"/>
    <mergeCell ref="G2:I2"/>
    <mergeCell ref="J2:L2"/>
    <mergeCell ref="M2:O2"/>
    <mergeCell ref="A2:A3"/>
    <mergeCell ref="B2:B3"/>
    <mergeCell ref="C2:C3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9" tint="-0.499984740745262"/>
  </sheetPr>
  <dimension ref="A1:O21"/>
  <sheetViews>
    <sheetView workbookViewId="0">
      <selection activeCell="C30" sqref="C30"/>
    </sheetView>
  </sheetViews>
  <sheetFormatPr defaultColWidth="9.875" defaultRowHeight="14.25"/>
  <cols>
    <col min="2" max="2" width="22.625" customWidth="1"/>
    <col min="3" max="3" width="40.25" customWidth="1"/>
    <col min="4" max="4" width="6.375" customWidth="1"/>
    <col min="5" max="5" width="7.875" customWidth="1"/>
    <col min="6" max="6" width="6.875" customWidth="1"/>
    <col min="7" max="7" width="6.25" customWidth="1"/>
    <col min="8" max="8" width="6.375" customWidth="1"/>
    <col min="9" max="9" width="6.25" customWidth="1"/>
    <col min="10" max="11" width="7.375" customWidth="1"/>
    <col min="12" max="12" width="6.875" customWidth="1"/>
    <col min="13" max="13" width="5.5" customWidth="1"/>
    <col min="14" max="14" width="6" customWidth="1"/>
    <col min="15" max="15" width="6.625" customWidth="1"/>
  </cols>
  <sheetData>
    <row r="1" spans="1:15" ht="24" customHeight="1" thickTop="1" thickBot="1">
      <c r="A1" s="241" t="s">
        <v>130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2"/>
    </row>
    <row r="2" spans="1:15" ht="15" thickTop="1">
      <c r="A2" s="248" t="s">
        <v>0</v>
      </c>
      <c r="B2" s="250" t="s">
        <v>2</v>
      </c>
      <c r="C2" s="251" t="s">
        <v>3</v>
      </c>
      <c r="D2" s="243" t="s">
        <v>26</v>
      </c>
      <c r="E2" s="243"/>
      <c r="F2" s="244"/>
      <c r="G2" s="245" t="s">
        <v>27</v>
      </c>
      <c r="H2" s="246"/>
      <c r="I2" s="247"/>
      <c r="J2" s="245" t="s">
        <v>28</v>
      </c>
      <c r="K2" s="246"/>
      <c r="L2" s="247"/>
      <c r="M2" s="245" t="s">
        <v>29</v>
      </c>
      <c r="N2" s="246"/>
      <c r="O2" s="247"/>
    </row>
    <row r="3" spans="1:15">
      <c r="A3" s="249"/>
      <c r="B3" s="246"/>
      <c r="C3" s="247"/>
      <c r="D3" s="31" t="s">
        <v>9</v>
      </c>
      <c r="E3" s="15" t="s">
        <v>10</v>
      </c>
      <c r="F3" s="32" t="s">
        <v>11</v>
      </c>
      <c r="G3" s="31" t="s">
        <v>9</v>
      </c>
      <c r="H3" s="15" t="s">
        <v>10</v>
      </c>
      <c r="I3" s="33" t="s">
        <v>11</v>
      </c>
      <c r="J3" s="31" t="s">
        <v>9</v>
      </c>
      <c r="K3" s="15" t="s">
        <v>10</v>
      </c>
      <c r="L3" s="33" t="s">
        <v>11</v>
      </c>
      <c r="M3" s="31" t="s">
        <v>9</v>
      </c>
      <c r="N3" s="15" t="s">
        <v>10</v>
      </c>
      <c r="O3" s="33" t="s">
        <v>11</v>
      </c>
    </row>
    <row r="4" spans="1:15" ht="36" customHeight="1">
      <c r="A4" s="34">
        <v>1</v>
      </c>
      <c r="B4" s="10" t="s">
        <v>79</v>
      </c>
      <c r="C4" s="10" t="s">
        <v>101</v>
      </c>
      <c r="D4" s="93"/>
      <c r="E4" s="93">
        <v>24</v>
      </c>
      <c r="F4" s="119">
        <v>71</v>
      </c>
      <c r="G4" s="93"/>
      <c r="H4" s="93"/>
      <c r="I4" s="93"/>
      <c r="J4" s="93"/>
      <c r="K4" s="93"/>
      <c r="L4" s="93"/>
      <c r="M4" s="93"/>
      <c r="N4" s="93"/>
      <c r="O4" s="93"/>
    </row>
    <row r="5" spans="1:15" ht="33" customHeight="1">
      <c r="A5" s="34">
        <v>2</v>
      </c>
      <c r="B5" s="24" t="s">
        <v>22</v>
      </c>
      <c r="C5" s="94" t="s">
        <v>23</v>
      </c>
      <c r="D5" s="93"/>
      <c r="E5" s="93"/>
      <c r="F5" s="119"/>
      <c r="G5" s="93"/>
      <c r="H5" s="93"/>
      <c r="I5" s="93">
        <v>8</v>
      </c>
      <c r="J5" s="93"/>
      <c r="K5" s="93"/>
      <c r="L5" s="93"/>
      <c r="M5" s="93"/>
      <c r="N5" s="93"/>
      <c r="O5" s="93"/>
    </row>
    <row r="6" spans="1:15">
      <c r="A6" s="6"/>
      <c r="B6" s="6"/>
      <c r="C6" s="6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1:15">
      <c r="A7" s="6"/>
      <c r="B7" s="6"/>
      <c r="C7" s="6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</row>
    <row r="8" spans="1:15">
      <c r="A8" s="6"/>
      <c r="B8" s="6"/>
      <c r="C8" s="6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spans="1:15">
      <c r="A9" s="6"/>
      <c r="B9" s="6"/>
      <c r="C9" s="6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spans="1:15">
      <c r="A10" s="6"/>
      <c r="B10" s="6"/>
      <c r="C10" s="6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</row>
    <row r="11" spans="1:15">
      <c r="A11" s="6"/>
      <c r="B11" s="6"/>
      <c r="C11" s="6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</row>
    <row r="12" spans="1:15">
      <c r="A12" s="6"/>
      <c r="B12" s="6"/>
      <c r="C12" s="6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</row>
    <row r="13" spans="1:15">
      <c r="A13" s="6"/>
      <c r="B13" s="6"/>
      <c r="C13" s="6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spans="1:15">
      <c r="A14" s="6"/>
      <c r="B14" s="6"/>
      <c r="C14" s="6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</row>
    <row r="15" spans="1:15">
      <c r="A15" s="6"/>
      <c r="B15" s="6"/>
      <c r="C15" s="6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</row>
    <row r="16" spans="1:15">
      <c r="A16" s="6"/>
      <c r="B16" s="6"/>
      <c r="C16" s="6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spans="1:15">
      <c r="A17" s="6"/>
      <c r="B17" s="6"/>
      <c r="C17" s="6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</row>
    <row r="18" spans="1:15">
      <c r="A18" s="6"/>
      <c r="B18" s="6"/>
      <c r="C18" s="6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</row>
    <row r="19" spans="1:15">
      <c r="A19" s="6"/>
      <c r="B19" s="6"/>
      <c r="C19" s="6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</row>
    <row r="20" spans="1:15">
      <c r="A20" s="6"/>
      <c r="B20" s="6"/>
      <c r="C20" s="6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</row>
    <row r="21" spans="1:15">
      <c r="A21" s="6"/>
      <c r="B21" s="6"/>
      <c r="C21" s="6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</row>
  </sheetData>
  <mergeCells count="8">
    <mergeCell ref="A1:O1"/>
    <mergeCell ref="D2:F2"/>
    <mergeCell ref="G2:I2"/>
    <mergeCell ref="J2:L2"/>
    <mergeCell ref="M2:O2"/>
    <mergeCell ref="A2:A3"/>
    <mergeCell ref="B2:B3"/>
    <mergeCell ref="C2:C3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9" tint="-0.499984740745262"/>
  </sheetPr>
  <dimension ref="A1:O24"/>
  <sheetViews>
    <sheetView workbookViewId="0">
      <selection activeCell="D23" sqref="D23"/>
    </sheetView>
  </sheetViews>
  <sheetFormatPr defaultColWidth="9" defaultRowHeight="14.25"/>
  <cols>
    <col min="2" max="2" width="18.75" customWidth="1"/>
    <col min="3" max="3" width="25.25" customWidth="1"/>
  </cols>
  <sheetData>
    <row r="1" spans="1:15" s="37" customFormat="1" ht="21.75" thickTop="1" thickBot="1">
      <c r="A1" s="218" t="s">
        <v>129</v>
      </c>
      <c r="B1" s="218"/>
      <c r="C1" s="218"/>
      <c r="D1" s="229"/>
      <c r="E1" s="229"/>
      <c r="F1" s="229"/>
      <c r="G1" s="218"/>
      <c r="H1" s="218"/>
      <c r="I1" s="218"/>
      <c r="J1" s="218"/>
      <c r="K1" s="218"/>
      <c r="L1" s="218"/>
      <c r="M1" s="218"/>
      <c r="N1" s="218"/>
      <c r="O1" s="219"/>
    </row>
    <row r="2" spans="1:15" s="37" customFormat="1" ht="15" thickTop="1">
      <c r="A2" s="225" t="s">
        <v>0</v>
      </c>
      <c r="B2" s="227" t="s">
        <v>2</v>
      </c>
      <c r="C2" s="254" t="s">
        <v>3</v>
      </c>
      <c r="D2" s="252" t="s">
        <v>26</v>
      </c>
      <c r="E2" s="231"/>
      <c r="F2" s="253"/>
      <c r="G2" s="222" t="s">
        <v>27</v>
      </c>
      <c r="H2" s="223"/>
      <c r="I2" s="224"/>
      <c r="J2" s="222" t="s">
        <v>28</v>
      </c>
      <c r="K2" s="223"/>
      <c r="L2" s="224"/>
      <c r="M2" s="222" t="s">
        <v>29</v>
      </c>
      <c r="N2" s="223"/>
      <c r="O2" s="224"/>
    </row>
    <row r="3" spans="1:15" s="37" customFormat="1" ht="30.75" customHeight="1">
      <c r="A3" s="226"/>
      <c r="B3" s="223"/>
      <c r="C3" s="255"/>
      <c r="D3" s="38" t="s">
        <v>9</v>
      </c>
      <c r="E3" s="1" t="s">
        <v>10</v>
      </c>
      <c r="F3" s="39" t="s">
        <v>11</v>
      </c>
      <c r="G3" s="40" t="s">
        <v>9</v>
      </c>
      <c r="H3" s="1" t="s">
        <v>10</v>
      </c>
      <c r="I3" s="41" t="s">
        <v>11</v>
      </c>
      <c r="J3" s="40" t="s">
        <v>9</v>
      </c>
      <c r="K3" s="1" t="s">
        <v>10</v>
      </c>
      <c r="L3" s="41" t="s">
        <v>11</v>
      </c>
      <c r="M3" s="40" t="s">
        <v>9</v>
      </c>
      <c r="N3" s="1" t="s">
        <v>10</v>
      </c>
      <c r="O3" s="41" t="s">
        <v>11</v>
      </c>
    </row>
    <row r="4" spans="1:15" s="37" customFormat="1">
      <c r="A4" s="163">
        <v>1</v>
      </c>
      <c r="B4" s="164" t="s">
        <v>38</v>
      </c>
      <c r="C4" s="165" t="s">
        <v>39</v>
      </c>
      <c r="D4" s="166"/>
      <c r="E4" s="167"/>
      <c r="F4" s="168">
        <v>80</v>
      </c>
      <c r="G4" s="169"/>
      <c r="H4" s="170"/>
      <c r="I4" s="168">
        <v>80</v>
      </c>
      <c r="J4" s="171"/>
      <c r="K4" s="167"/>
      <c r="L4" s="168">
        <v>28</v>
      </c>
      <c r="M4" s="169"/>
      <c r="N4" s="167"/>
      <c r="O4" s="168">
        <v>31.5</v>
      </c>
    </row>
    <row r="5" spans="1:15" s="37" customFormat="1">
      <c r="A5" s="163">
        <v>2</v>
      </c>
      <c r="B5" s="164" t="s">
        <v>98</v>
      </c>
      <c r="C5" s="165" t="s">
        <v>99</v>
      </c>
      <c r="D5" s="166"/>
      <c r="E5" s="167"/>
      <c r="F5" s="168">
        <v>24</v>
      </c>
      <c r="G5" s="169"/>
      <c r="H5" s="170"/>
      <c r="I5" s="172"/>
      <c r="J5" s="171"/>
      <c r="K5" s="167"/>
      <c r="L5" s="173"/>
      <c r="M5" s="169"/>
      <c r="N5" s="167"/>
      <c r="O5" s="173"/>
    </row>
    <row r="6" spans="1:15" s="37" customFormat="1">
      <c r="A6" s="42">
        <v>3</v>
      </c>
      <c r="B6" s="43"/>
      <c r="C6" s="44"/>
      <c r="D6" s="45"/>
      <c r="E6" s="46"/>
      <c r="F6" s="47"/>
      <c r="G6" s="4"/>
      <c r="H6" s="5"/>
      <c r="I6" s="48"/>
      <c r="J6" s="4"/>
      <c r="K6" s="5"/>
      <c r="L6" s="48"/>
      <c r="M6" s="4"/>
      <c r="N6" s="5"/>
      <c r="O6" s="48"/>
    </row>
    <row r="7" spans="1:15" s="37" customFormat="1">
      <c r="A7" s="42">
        <v>4</v>
      </c>
      <c r="B7" s="46"/>
      <c r="C7" s="44"/>
      <c r="D7" s="45"/>
      <c r="E7" s="46"/>
      <c r="F7" s="47"/>
      <c r="G7" s="49"/>
      <c r="H7" s="46"/>
      <c r="I7" s="48"/>
      <c r="J7" s="49"/>
      <c r="K7" s="46"/>
      <c r="L7" s="48"/>
      <c r="M7" s="49"/>
      <c r="N7" s="46"/>
      <c r="O7" s="48"/>
    </row>
    <row r="8" spans="1:15" s="37" customFormat="1">
      <c r="A8" s="42">
        <v>5</v>
      </c>
      <c r="B8" s="46"/>
      <c r="C8" s="44"/>
      <c r="D8" s="45"/>
      <c r="E8" s="46"/>
      <c r="F8" s="47"/>
      <c r="G8" s="49"/>
      <c r="H8" s="46"/>
      <c r="I8" s="48"/>
      <c r="J8" s="49"/>
      <c r="K8" s="46"/>
      <c r="L8" s="48"/>
      <c r="M8" s="49"/>
      <c r="N8" s="46"/>
      <c r="O8" s="48"/>
    </row>
    <row r="9" spans="1:15" s="37" customFormat="1">
      <c r="A9" s="42">
        <v>6</v>
      </c>
      <c r="B9" s="46"/>
      <c r="C9" s="50"/>
      <c r="D9" s="45"/>
      <c r="E9" s="46"/>
      <c r="F9" s="47"/>
      <c r="G9" s="49"/>
      <c r="H9" s="46"/>
      <c r="I9" s="48"/>
      <c r="J9" s="49"/>
      <c r="K9" s="46"/>
      <c r="L9" s="48"/>
      <c r="M9" s="49"/>
      <c r="N9" s="46"/>
      <c r="O9" s="48"/>
    </row>
    <row r="10" spans="1:15" s="37" customFormat="1">
      <c r="A10" s="42">
        <v>7</v>
      </c>
      <c r="B10" s="46"/>
      <c r="C10" s="50"/>
      <c r="D10" s="45"/>
      <c r="E10" s="46"/>
      <c r="F10" s="47"/>
      <c r="G10" s="49"/>
      <c r="H10" s="46"/>
      <c r="I10" s="48"/>
      <c r="J10" s="49"/>
      <c r="K10" s="46"/>
      <c r="L10" s="48"/>
      <c r="M10" s="49"/>
      <c r="N10" s="46"/>
      <c r="O10" s="48"/>
    </row>
    <row r="11" spans="1:15" s="37" customFormat="1">
      <c r="A11" s="42">
        <v>8</v>
      </c>
      <c r="B11" s="46"/>
      <c r="C11" s="50"/>
      <c r="D11" s="45"/>
      <c r="E11" s="46"/>
      <c r="F11" s="47"/>
      <c r="G11" s="49"/>
      <c r="H11" s="46"/>
      <c r="I11" s="48"/>
      <c r="J11" s="49"/>
      <c r="K11" s="46"/>
      <c r="L11" s="48"/>
      <c r="M11" s="49"/>
      <c r="N11" s="46"/>
      <c r="O11" s="48"/>
    </row>
    <row r="12" spans="1:15" s="37" customFormat="1">
      <c r="A12" s="42">
        <v>9</v>
      </c>
      <c r="B12" s="46"/>
      <c r="C12" s="50"/>
      <c r="D12" s="45"/>
      <c r="E12" s="46"/>
      <c r="F12" s="47"/>
      <c r="G12" s="49"/>
      <c r="H12" s="46"/>
      <c r="I12" s="48"/>
      <c r="J12" s="49"/>
      <c r="K12" s="46"/>
      <c r="L12" s="48"/>
      <c r="M12" s="49"/>
      <c r="N12" s="46"/>
      <c r="O12" s="48"/>
    </row>
    <row r="13" spans="1:15" s="37" customFormat="1">
      <c r="A13" s="42">
        <v>10</v>
      </c>
      <c r="B13" s="46"/>
      <c r="C13" s="50"/>
      <c r="D13" s="45"/>
      <c r="E13" s="46"/>
      <c r="F13" s="47"/>
      <c r="G13" s="49"/>
      <c r="H13" s="46"/>
      <c r="I13" s="48"/>
      <c r="J13" s="49"/>
      <c r="K13" s="46"/>
      <c r="L13" s="48"/>
      <c r="M13" s="49"/>
      <c r="N13" s="46"/>
      <c r="O13" s="48"/>
    </row>
    <row r="14" spans="1:15" s="37" customFormat="1">
      <c r="A14" s="42">
        <v>11</v>
      </c>
      <c r="B14" s="46"/>
      <c r="C14" s="50"/>
      <c r="D14" s="51"/>
      <c r="E14" s="52"/>
      <c r="F14" s="53"/>
      <c r="G14" s="54"/>
      <c r="H14" s="52"/>
      <c r="I14" s="55"/>
      <c r="J14" s="54"/>
      <c r="K14" s="52"/>
      <c r="L14" s="55"/>
      <c r="M14" s="54"/>
      <c r="N14" s="52"/>
      <c r="O14" s="55"/>
    </row>
    <row r="15" spans="1:15" s="37" customFormat="1">
      <c r="A15" s="42">
        <v>12</v>
      </c>
      <c r="B15" s="46"/>
      <c r="C15" s="50"/>
      <c r="D15" s="51"/>
      <c r="E15" s="52"/>
      <c r="F15" s="53"/>
      <c r="G15" s="54"/>
      <c r="H15" s="52"/>
      <c r="I15" s="55"/>
      <c r="J15" s="54"/>
      <c r="K15" s="52"/>
      <c r="L15" s="55"/>
      <c r="M15" s="54"/>
      <c r="N15" s="52"/>
      <c r="O15" s="55"/>
    </row>
    <row r="16" spans="1:15" s="37" customFormat="1">
      <c r="A16" s="42">
        <v>13</v>
      </c>
      <c r="B16" s="46"/>
      <c r="C16" s="50"/>
      <c r="D16" s="51"/>
      <c r="E16" s="52"/>
      <c r="F16" s="53"/>
      <c r="G16" s="54"/>
      <c r="H16" s="52"/>
      <c r="I16" s="55"/>
      <c r="J16" s="54"/>
      <c r="K16" s="52"/>
      <c r="L16" s="55"/>
      <c r="M16" s="54"/>
      <c r="N16" s="52"/>
      <c r="O16" s="55"/>
    </row>
    <row r="17" spans="1:15" s="37" customFormat="1">
      <c r="A17" s="42">
        <v>14</v>
      </c>
      <c r="B17" s="46"/>
      <c r="C17" s="50"/>
      <c r="D17" s="51"/>
      <c r="E17" s="52"/>
      <c r="F17" s="53"/>
      <c r="G17" s="54"/>
      <c r="H17" s="52"/>
      <c r="I17" s="55"/>
      <c r="J17" s="54"/>
      <c r="K17" s="52"/>
      <c r="L17" s="55"/>
      <c r="M17" s="54"/>
      <c r="N17" s="52"/>
      <c r="O17" s="55"/>
    </row>
    <row r="18" spans="1:15" s="37" customFormat="1">
      <c r="A18" s="42">
        <v>15</v>
      </c>
      <c r="B18" s="46"/>
      <c r="C18" s="50"/>
      <c r="D18" s="51"/>
      <c r="E18" s="52"/>
      <c r="F18" s="53"/>
      <c r="G18" s="54"/>
      <c r="H18" s="52"/>
      <c r="I18" s="55"/>
      <c r="J18" s="54"/>
      <c r="K18" s="52"/>
      <c r="L18" s="55"/>
      <c r="M18" s="54"/>
      <c r="N18" s="52"/>
      <c r="O18" s="55"/>
    </row>
    <row r="19" spans="1:15" s="37" customFormat="1">
      <c r="A19" s="42">
        <v>16</v>
      </c>
      <c r="B19" s="46"/>
      <c r="C19" s="50"/>
      <c r="D19" s="51"/>
      <c r="E19" s="52"/>
      <c r="F19" s="53"/>
      <c r="G19" s="54"/>
      <c r="H19" s="52"/>
      <c r="I19" s="55"/>
      <c r="J19" s="54"/>
      <c r="K19" s="52"/>
      <c r="L19" s="55"/>
      <c r="M19" s="54"/>
      <c r="N19" s="52"/>
      <c r="O19" s="55"/>
    </row>
    <row r="20" spans="1:15" s="37" customFormat="1">
      <c r="A20" s="42">
        <v>17</v>
      </c>
      <c r="B20" s="46"/>
      <c r="C20" s="50"/>
      <c r="D20" s="51"/>
      <c r="E20" s="52"/>
      <c r="F20" s="53"/>
      <c r="G20" s="54"/>
      <c r="H20" s="52"/>
      <c r="I20" s="55"/>
      <c r="J20" s="54"/>
      <c r="K20" s="52"/>
      <c r="L20" s="55"/>
      <c r="M20" s="54"/>
      <c r="N20" s="52"/>
      <c r="O20" s="55"/>
    </row>
    <row r="21" spans="1:15" s="37" customFormat="1">
      <c r="A21" s="42">
        <v>18</v>
      </c>
      <c r="B21" s="46"/>
      <c r="C21" s="50"/>
      <c r="D21" s="51"/>
      <c r="E21" s="52"/>
      <c r="F21" s="53"/>
      <c r="G21" s="54"/>
      <c r="H21" s="52"/>
      <c r="I21" s="55"/>
      <c r="J21" s="54"/>
      <c r="K21" s="52"/>
      <c r="L21" s="55"/>
      <c r="M21" s="54"/>
      <c r="N21" s="52"/>
      <c r="O21" s="55"/>
    </row>
    <row r="22" spans="1:15" s="37" customFormat="1">
      <c r="A22" s="42">
        <v>19</v>
      </c>
      <c r="B22" s="46"/>
      <c r="C22" s="50"/>
      <c r="D22" s="51"/>
      <c r="E22" s="52"/>
      <c r="F22" s="53"/>
      <c r="G22" s="54"/>
      <c r="H22" s="52"/>
      <c r="I22" s="55"/>
      <c r="J22" s="54"/>
      <c r="K22" s="52"/>
      <c r="L22" s="55"/>
      <c r="M22" s="54"/>
      <c r="N22" s="52"/>
      <c r="O22" s="55"/>
    </row>
    <row r="23" spans="1:15" s="37" customFormat="1" ht="15" thickBot="1">
      <c r="A23" s="56">
        <v>20</v>
      </c>
      <c r="B23" s="57"/>
      <c r="C23" s="58"/>
      <c r="D23" s="59"/>
      <c r="E23" s="60"/>
      <c r="F23" s="61"/>
      <c r="G23" s="62"/>
      <c r="H23" s="63"/>
      <c r="I23" s="64"/>
      <c r="J23" s="62"/>
      <c r="K23" s="63"/>
      <c r="L23" s="64"/>
      <c r="M23" s="62"/>
      <c r="N23" s="63"/>
      <c r="O23" s="64"/>
    </row>
    <row r="24" spans="1:15" s="37" customFormat="1"/>
  </sheetData>
  <mergeCells count="8">
    <mergeCell ref="A1:O1"/>
    <mergeCell ref="D2:F2"/>
    <mergeCell ref="G2:I2"/>
    <mergeCell ref="J2:L2"/>
    <mergeCell ref="M2:O2"/>
    <mergeCell ref="A2:A3"/>
    <mergeCell ref="B2:B3"/>
    <mergeCell ref="C2:C3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9" tint="-0.499984740745262"/>
  </sheetPr>
  <dimension ref="A1:O8"/>
  <sheetViews>
    <sheetView workbookViewId="0">
      <selection activeCell="B4" sqref="B4:O8"/>
    </sheetView>
  </sheetViews>
  <sheetFormatPr defaultColWidth="9" defaultRowHeight="13.5"/>
  <cols>
    <col min="1" max="1" width="9" style="11"/>
    <col min="2" max="2" width="20.125" style="11" customWidth="1"/>
    <col min="3" max="3" width="40.875" style="11" customWidth="1"/>
    <col min="4" max="16384" width="9" style="11"/>
  </cols>
  <sheetData>
    <row r="1" spans="1:15" ht="21.75" thickTop="1" thickBot="1">
      <c r="A1" s="229" t="s">
        <v>74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30"/>
    </row>
    <row r="2" spans="1:15" ht="14.25">
      <c r="A2" s="256" t="s">
        <v>30</v>
      </c>
      <c r="B2" s="234" t="s">
        <v>31</v>
      </c>
      <c r="C2" s="234" t="s">
        <v>32</v>
      </c>
      <c r="D2" s="234" t="s">
        <v>33</v>
      </c>
      <c r="E2" s="234"/>
      <c r="F2" s="234"/>
      <c r="G2" s="234" t="s">
        <v>34</v>
      </c>
      <c r="H2" s="234"/>
      <c r="I2" s="234"/>
      <c r="J2" s="234" t="s">
        <v>35</v>
      </c>
      <c r="K2" s="234"/>
      <c r="L2" s="234"/>
      <c r="M2" s="234" t="s">
        <v>36</v>
      </c>
      <c r="N2" s="234"/>
      <c r="O2" s="236"/>
    </row>
    <row r="3" spans="1:15" ht="14.25">
      <c r="A3" s="257"/>
      <c r="B3" s="217"/>
      <c r="C3" s="217"/>
      <c r="D3" s="1" t="s">
        <v>9</v>
      </c>
      <c r="E3" s="1" t="s">
        <v>10</v>
      </c>
      <c r="F3" s="1" t="s">
        <v>11</v>
      </c>
      <c r="G3" s="1" t="s">
        <v>9</v>
      </c>
      <c r="H3" s="1" t="s">
        <v>10</v>
      </c>
      <c r="I3" s="1" t="s">
        <v>11</v>
      </c>
      <c r="J3" s="1" t="s">
        <v>9</v>
      </c>
      <c r="K3" s="1" t="s">
        <v>10</v>
      </c>
      <c r="L3" s="1" t="s">
        <v>11</v>
      </c>
      <c r="M3" s="1" t="s">
        <v>9</v>
      </c>
      <c r="N3" s="1" t="s">
        <v>10</v>
      </c>
      <c r="O3" s="22" t="s">
        <v>11</v>
      </c>
    </row>
    <row r="4" spans="1:15" ht="14.25">
      <c r="A4" s="34">
        <v>1</v>
      </c>
      <c r="B4" s="24" t="s">
        <v>75</v>
      </c>
      <c r="C4" s="35" t="s">
        <v>80</v>
      </c>
      <c r="D4" s="90"/>
      <c r="E4" s="90">
        <v>16</v>
      </c>
      <c r="F4" s="35">
        <v>8</v>
      </c>
      <c r="G4" s="90"/>
      <c r="H4" s="90"/>
      <c r="I4" s="35"/>
      <c r="J4" s="90"/>
      <c r="K4" s="90"/>
      <c r="L4" s="35"/>
      <c r="M4" s="90"/>
      <c r="N4" s="90"/>
      <c r="O4" s="35"/>
    </row>
    <row r="5" spans="1:15" ht="14.25">
      <c r="A5" s="26">
        <v>2</v>
      </c>
      <c r="B5" s="10" t="s">
        <v>76</v>
      </c>
      <c r="C5" s="46" t="s">
        <v>81</v>
      </c>
      <c r="D5" s="10">
        <v>4</v>
      </c>
      <c r="E5" s="10">
        <v>16</v>
      </c>
      <c r="F5" s="10">
        <v>8</v>
      </c>
      <c r="G5" s="3"/>
      <c r="H5" s="3"/>
      <c r="I5" s="3"/>
      <c r="J5" s="3"/>
      <c r="K5" s="3"/>
      <c r="L5" s="3"/>
      <c r="M5" s="3"/>
      <c r="N5" s="3"/>
      <c r="O5" s="25"/>
    </row>
    <row r="6" spans="1:15" ht="14.25">
      <c r="A6" s="23">
        <v>3</v>
      </c>
      <c r="B6" s="10" t="s">
        <v>77</v>
      </c>
      <c r="C6" s="46" t="s">
        <v>82</v>
      </c>
      <c r="D6" s="10"/>
      <c r="E6" s="10"/>
      <c r="F6" s="10"/>
      <c r="G6" s="3"/>
      <c r="H6" s="3"/>
      <c r="I6" s="3">
        <v>56</v>
      </c>
      <c r="J6" s="3"/>
      <c r="K6" s="3"/>
      <c r="L6" s="3"/>
      <c r="M6" s="3"/>
      <c r="N6" s="3"/>
      <c r="O6" s="25"/>
    </row>
    <row r="7" spans="1:15" ht="14.25">
      <c r="A7" s="145">
        <v>4</v>
      </c>
      <c r="B7" s="146" t="s">
        <v>78</v>
      </c>
      <c r="C7" s="147" t="s">
        <v>83</v>
      </c>
      <c r="D7" s="146">
        <v>8</v>
      </c>
      <c r="E7" s="146">
        <v>24</v>
      </c>
      <c r="F7" s="146">
        <v>24</v>
      </c>
      <c r="G7" s="148"/>
      <c r="H7" s="148"/>
      <c r="I7" s="148"/>
      <c r="J7" s="148"/>
      <c r="K7" s="148"/>
      <c r="L7" s="148"/>
      <c r="M7" s="148"/>
      <c r="N7" s="148"/>
      <c r="O7" s="149"/>
    </row>
    <row r="8" spans="1:15" ht="15" thickBot="1">
      <c r="A8" s="27">
        <v>5</v>
      </c>
      <c r="B8" s="28" t="s">
        <v>79</v>
      </c>
      <c r="C8" s="28" t="s">
        <v>84</v>
      </c>
      <c r="D8" s="28">
        <v>8</v>
      </c>
      <c r="E8" s="28"/>
      <c r="F8" s="28">
        <v>12</v>
      </c>
      <c r="G8" s="29"/>
      <c r="H8" s="29"/>
      <c r="I8" s="29"/>
      <c r="J8" s="29"/>
      <c r="K8" s="29"/>
      <c r="L8" s="29"/>
      <c r="M8" s="29"/>
      <c r="N8" s="29"/>
      <c r="O8" s="30"/>
    </row>
  </sheetData>
  <mergeCells count="8">
    <mergeCell ref="A1:O1"/>
    <mergeCell ref="D2:F2"/>
    <mergeCell ref="G2:I2"/>
    <mergeCell ref="J2:L2"/>
    <mergeCell ref="M2:O2"/>
    <mergeCell ref="A2:A3"/>
    <mergeCell ref="B2:B3"/>
    <mergeCell ref="C2:C3"/>
  </mergeCells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9" tint="-0.499984740745262"/>
  </sheetPr>
  <dimension ref="A1:O19"/>
  <sheetViews>
    <sheetView workbookViewId="0">
      <selection activeCell="B22" sqref="B22"/>
    </sheetView>
  </sheetViews>
  <sheetFormatPr defaultColWidth="9" defaultRowHeight="14.25"/>
  <cols>
    <col min="1" max="1" width="14.875" customWidth="1"/>
    <col min="2" max="2" width="56" customWidth="1"/>
    <col min="3" max="3" width="44.25" customWidth="1"/>
    <col min="4" max="4" width="5.875" customWidth="1"/>
    <col min="5" max="5" width="7.25" customWidth="1"/>
    <col min="6" max="6" width="6.375" customWidth="1"/>
    <col min="7" max="7" width="5.75" customWidth="1"/>
    <col min="8" max="8" width="5.875" customWidth="1"/>
    <col min="9" max="9" width="5.75" customWidth="1"/>
    <col min="10" max="10" width="6.75" customWidth="1"/>
    <col min="11" max="11" width="7.5" customWidth="1"/>
    <col min="12" max="12" width="6.25" customWidth="1"/>
    <col min="13" max="13" width="5.125" customWidth="1"/>
    <col min="14" max="14" width="5.5" customWidth="1"/>
    <col min="15" max="15" width="6.125" customWidth="1"/>
  </cols>
  <sheetData>
    <row r="1" spans="1:15" ht="24" customHeight="1" thickTop="1" thickBot="1">
      <c r="A1" s="218" t="s">
        <v>128</v>
      </c>
      <c r="B1" s="218"/>
      <c r="C1" s="218"/>
      <c r="D1" s="229"/>
      <c r="E1" s="229"/>
      <c r="F1" s="229"/>
      <c r="G1" s="229"/>
      <c r="H1" s="229"/>
      <c r="I1" s="229"/>
      <c r="J1" s="229"/>
      <c r="K1" s="229"/>
      <c r="L1" s="229"/>
      <c r="M1" s="218"/>
      <c r="N1" s="218"/>
      <c r="O1" s="219"/>
    </row>
    <row r="2" spans="1:15" ht="15" thickTop="1">
      <c r="A2" s="225" t="s">
        <v>0</v>
      </c>
      <c r="B2" s="227" t="s">
        <v>2</v>
      </c>
      <c r="C2" s="254" t="s">
        <v>3</v>
      </c>
      <c r="D2" s="252" t="s">
        <v>26</v>
      </c>
      <c r="E2" s="231"/>
      <c r="F2" s="253"/>
      <c r="G2" s="256" t="s">
        <v>27</v>
      </c>
      <c r="H2" s="234"/>
      <c r="I2" s="236"/>
      <c r="J2" s="256" t="s">
        <v>28</v>
      </c>
      <c r="K2" s="234"/>
      <c r="L2" s="236"/>
      <c r="M2" s="222" t="s">
        <v>29</v>
      </c>
      <c r="N2" s="223"/>
      <c r="O2" s="224"/>
    </row>
    <row r="3" spans="1:15">
      <c r="A3" s="226"/>
      <c r="B3" s="223"/>
      <c r="C3" s="255"/>
      <c r="D3" s="108" t="s">
        <v>9</v>
      </c>
      <c r="E3" s="107" t="s">
        <v>10</v>
      </c>
      <c r="F3" s="39" t="s">
        <v>11</v>
      </c>
      <c r="G3" s="108" t="s">
        <v>9</v>
      </c>
      <c r="H3" s="107" t="s">
        <v>10</v>
      </c>
      <c r="I3" s="22" t="s">
        <v>11</v>
      </c>
      <c r="J3" s="108" t="s">
        <v>9</v>
      </c>
      <c r="K3" s="107" t="s">
        <v>10</v>
      </c>
      <c r="L3" s="22" t="s">
        <v>11</v>
      </c>
      <c r="M3" s="40" t="s">
        <v>9</v>
      </c>
      <c r="N3" s="1" t="s">
        <v>10</v>
      </c>
      <c r="O3" s="41" t="s">
        <v>11</v>
      </c>
    </row>
    <row r="4" spans="1:15">
      <c r="A4" s="8">
        <v>1</v>
      </c>
      <c r="B4" s="6" t="s">
        <v>18</v>
      </c>
      <c r="C4" s="16" t="s">
        <v>105</v>
      </c>
      <c r="D4" s="17"/>
      <c r="E4" s="12"/>
      <c r="F4" s="19">
        <v>4</v>
      </c>
      <c r="G4" s="18"/>
      <c r="H4" s="6"/>
      <c r="I4" s="16"/>
      <c r="J4" s="18"/>
      <c r="K4" s="6"/>
      <c r="L4" s="16"/>
      <c r="M4" s="18"/>
      <c r="N4" s="6"/>
      <c r="O4" s="16"/>
    </row>
    <row r="5" spans="1:15">
      <c r="A5" s="8">
        <v>2</v>
      </c>
      <c r="B5" s="6" t="s">
        <v>15</v>
      </c>
      <c r="C5" s="16" t="s">
        <v>44</v>
      </c>
      <c r="D5" s="2"/>
      <c r="E5" s="2"/>
      <c r="F5" s="2">
        <v>64.56</v>
      </c>
      <c r="G5" s="2"/>
      <c r="H5" s="2"/>
      <c r="I5" s="2">
        <v>80</v>
      </c>
      <c r="J5" s="2"/>
      <c r="K5" s="188">
        <v>48.5</v>
      </c>
      <c r="L5" s="2"/>
      <c r="M5" s="2"/>
      <c r="N5" s="3">
        <v>29.5</v>
      </c>
      <c r="O5" s="7"/>
    </row>
    <row r="6" spans="1:15">
      <c r="A6" s="8">
        <v>3</v>
      </c>
      <c r="B6" s="6" t="s">
        <v>46</v>
      </c>
      <c r="C6" s="16" t="s">
        <v>13</v>
      </c>
      <c r="D6" s="2"/>
      <c r="E6" s="3"/>
      <c r="F6" s="7"/>
      <c r="G6" s="2"/>
      <c r="H6" s="3"/>
      <c r="I6" s="7"/>
      <c r="J6" s="2"/>
      <c r="K6" s="10">
        <v>12</v>
      </c>
      <c r="L6" s="7"/>
      <c r="M6" s="2"/>
      <c r="N6" s="3"/>
      <c r="O6" s="7"/>
    </row>
    <row r="7" spans="1:15">
      <c r="A7" s="8">
        <v>4</v>
      </c>
      <c r="B7" s="6" t="s">
        <v>48</v>
      </c>
      <c r="C7" s="16" t="s">
        <v>106</v>
      </c>
      <c r="D7" s="2"/>
      <c r="E7" s="3"/>
      <c r="F7" s="7">
        <v>8</v>
      </c>
      <c r="G7" s="2"/>
      <c r="H7" s="3"/>
      <c r="I7" s="7"/>
      <c r="J7" s="2"/>
      <c r="K7" s="3"/>
      <c r="L7" s="7"/>
      <c r="M7" s="2"/>
      <c r="N7" s="3"/>
      <c r="O7" s="7"/>
    </row>
    <row r="8" spans="1:15">
      <c r="A8" s="8"/>
      <c r="B8" s="6"/>
      <c r="C8" s="130"/>
      <c r="D8" s="132"/>
      <c r="E8" s="3"/>
      <c r="F8" s="25"/>
      <c r="G8" s="132"/>
      <c r="H8" s="3"/>
      <c r="I8" s="25"/>
      <c r="J8" s="132"/>
      <c r="K8" s="3"/>
      <c r="L8" s="25"/>
      <c r="M8" s="2"/>
      <c r="N8" s="3"/>
      <c r="O8" s="7"/>
    </row>
    <row r="9" spans="1:15">
      <c r="A9" s="8"/>
      <c r="B9" s="6"/>
      <c r="C9" s="130"/>
      <c r="D9" s="132"/>
      <c r="E9" s="3"/>
      <c r="F9" s="25"/>
      <c r="G9" s="132"/>
      <c r="H9" s="3"/>
      <c r="I9" s="25"/>
      <c r="J9" s="132"/>
      <c r="K9" s="3"/>
      <c r="L9" s="25"/>
      <c r="M9" s="2"/>
      <c r="N9" s="3"/>
      <c r="O9" s="7"/>
    </row>
    <row r="10" spans="1:15">
      <c r="A10" s="8"/>
      <c r="B10" s="6"/>
      <c r="C10" s="130"/>
      <c r="D10" s="132"/>
      <c r="E10" s="3"/>
      <c r="F10" s="25"/>
      <c r="G10" s="132"/>
      <c r="H10" s="3"/>
      <c r="I10" s="25"/>
      <c r="J10" s="132"/>
      <c r="K10" s="3"/>
      <c r="L10" s="25"/>
      <c r="M10" s="2"/>
      <c r="N10" s="3"/>
      <c r="O10" s="7"/>
    </row>
    <row r="11" spans="1:15">
      <c r="A11" s="8"/>
      <c r="B11" s="6"/>
      <c r="C11" s="130"/>
      <c r="D11" s="132"/>
      <c r="E11" s="3"/>
      <c r="F11" s="25"/>
      <c r="G11" s="132"/>
      <c r="H11" s="3"/>
      <c r="I11" s="25"/>
      <c r="J11" s="132"/>
      <c r="K11" s="3"/>
      <c r="L11" s="25"/>
      <c r="M11" s="2"/>
      <c r="N11" s="3"/>
      <c r="O11" s="7"/>
    </row>
    <row r="12" spans="1:15">
      <c r="A12" s="8"/>
      <c r="B12" s="6"/>
      <c r="C12" s="130"/>
      <c r="D12" s="132"/>
      <c r="E12" s="3"/>
      <c r="F12" s="25"/>
      <c r="G12" s="132"/>
      <c r="H12" s="3"/>
      <c r="I12" s="25"/>
      <c r="J12" s="132"/>
      <c r="K12" s="3"/>
      <c r="L12" s="25"/>
      <c r="M12" s="2"/>
      <c r="N12" s="3"/>
      <c r="O12" s="7"/>
    </row>
    <row r="13" spans="1:15">
      <c r="A13" s="8"/>
      <c r="B13" s="6"/>
      <c r="C13" s="130"/>
      <c r="D13" s="132"/>
      <c r="E13" s="3"/>
      <c r="F13" s="25"/>
      <c r="G13" s="132"/>
      <c r="H13" s="3"/>
      <c r="I13" s="25"/>
      <c r="J13" s="132"/>
      <c r="K13" s="3"/>
      <c r="L13" s="25"/>
      <c r="M13" s="2"/>
      <c r="N13" s="3"/>
      <c r="O13" s="7"/>
    </row>
    <row r="14" spans="1:15">
      <c r="A14" s="8"/>
      <c r="B14" s="6"/>
      <c r="C14" s="130"/>
      <c r="D14" s="132"/>
      <c r="E14" s="3"/>
      <c r="F14" s="25"/>
      <c r="G14" s="132"/>
      <c r="H14" s="3"/>
      <c r="I14" s="25"/>
      <c r="J14" s="132"/>
      <c r="K14" s="3"/>
      <c r="L14" s="25"/>
      <c r="M14" s="2"/>
      <c r="N14" s="3"/>
      <c r="O14" s="7"/>
    </row>
    <row r="15" spans="1:15">
      <c r="A15" s="8"/>
      <c r="B15" s="6"/>
      <c r="C15" s="130"/>
      <c r="D15" s="132"/>
      <c r="E15" s="3"/>
      <c r="F15" s="25"/>
      <c r="G15" s="132"/>
      <c r="H15" s="3"/>
      <c r="I15" s="25"/>
      <c r="J15" s="132"/>
      <c r="K15" s="3"/>
      <c r="L15" s="25"/>
      <c r="M15" s="2"/>
      <c r="N15" s="3"/>
      <c r="O15" s="7"/>
    </row>
    <row r="16" spans="1:15">
      <c r="A16" s="8"/>
      <c r="B16" s="6"/>
      <c r="C16" s="130"/>
      <c r="D16" s="132"/>
      <c r="E16" s="3"/>
      <c r="F16" s="25"/>
      <c r="G16" s="132"/>
      <c r="H16" s="3"/>
      <c r="I16" s="25"/>
      <c r="J16" s="132"/>
      <c r="K16" s="3"/>
      <c r="L16" s="25"/>
      <c r="M16" s="2"/>
      <c r="N16" s="3"/>
      <c r="O16" s="7"/>
    </row>
    <row r="17" spans="1:15">
      <c r="A17" s="8"/>
      <c r="B17" s="6"/>
      <c r="C17" s="130"/>
      <c r="D17" s="132"/>
      <c r="E17" s="3"/>
      <c r="F17" s="25"/>
      <c r="G17" s="132"/>
      <c r="H17" s="3"/>
      <c r="I17" s="25"/>
      <c r="J17" s="132"/>
      <c r="K17" s="3"/>
      <c r="L17" s="25"/>
      <c r="M17" s="2"/>
      <c r="N17" s="3"/>
      <c r="O17" s="7"/>
    </row>
    <row r="18" spans="1:15">
      <c r="A18" s="8"/>
      <c r="B18" s="6"/>
      <c r="C18" s="130"/>
      <c r="D18" s="132"/>
      <c r="E18" s="3"/>
      <c r="F18" s="25"/>
      <c r="G18" s="132"/>
      <c r="H18" s="3"/>
      <c r="I18" s="25"/>
      <c r="J18" s="132"/>
      <c r="K18" s="3"/>
      <c r="L18" s="25"/>
      <c r="M18" s="2"/>
      <c r="N18" s="3"/>
      <c r="O18" s="7"/>
    </row>
    <row r="19" spans="1:15" ht="15" thickBot="1">
      <c r="A19" s="14"/>
      <c r="B19" s="80"/>
      <c r="C19" s="131"/>
      <c r="D19" s="133"/>
      <c r="E19" s="134"/>
      <c r="F19" s="30"/>
      <c r="G19" s="133"/>
      <c r="H19" s="134"/>
      <c r="I19" s="30"/>
      <c r="J19" s="133"/>
      <c r="K19" s="134"/>
      <c r="L19" s="30"/>
      <c r="M19" s="82"/>
      <c r="N19" s="83"/>
      <c r="O19" s="84"/>
    </row>
  </sheetData>
  <mergeCells count="8">
    <mergeCell ref="A1:O1"/>
    <mergeCell ref="D2:F2"/>
    <mergeCell ref="G2:I2"/>
    <mergeCell ref="J2:L2"/>
    <mergeCell ref="M2:O2"/>
    <mergeCell ref="A2:A3"/>
    <mergeCell ref="B2:B3"/>
    <mergeCell ref="C2:C3"/>
  </mergeCells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9" tint="-0.499984740745262"/>
  </sheetPr>
  <dimension ref="A1:O19"/>
  <sheetViews>
    <sheetView workbookViewId="0">
      <selection activeCell="B4" sqref="B4:O5"/>
    </sheetView>
  </sheetViews>
  <sheetFormatPr defaultColWidth="9" defaultRowHeight="14.25"/>
  <cols>
    <col min="2" max="2" width="15.25" customWidth="1"/>
    <col min="3" max="3" width="29" customWidth="1"/>
    <col min="4" max="4" width="5.875" customWidth="1"/>
    <col min="5" max="5" width="7.25" customWidth="1"/>
    <col min="6" max="6" width="6.375" customWidth="1"/>
    <col min="7" max="7" width="5.75" customWidth="1"/>
    <col min="8" max="8" width="5.875" customWidth="1"/>
    <col min="9" max="9" width="5.75" customWidth="1"/>
    <col min="10" max="11" width="6.75" customWidth="1"/>
    <col min="12" max="12" width="6.25" customWidth="1"/>
    <col min="13" max="13" width="5.125" customWidth="1"/>
    <col min="14" max="14" width="5.5" customWidth="1"/>
    <col min="15" max="15" width="6.125" customWidth="1"/>
  </cols>
  <sheetData>
    <row r="1" spans="1:15" ht="21" thickTop="1">
      <c r="A1" s="229" t="s">
        <v>94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30"/>
    </row>
    <row r="2" spans="1:15">
      <c r="A2" s="217" t="s">
        <v>85</v>
      </c>
      <c r="B2" s="217" t="s">
        <v>86</v>
      </c>
      <c r="C2" s="217" t="s">
        <v>87</v>
      </c>
      <c r="D2" s="217" t="s">
        <v>88</v>
      </c>
      <c r="E2" s="217"/>
      <c r="F2" s="217"/>
      <c r="G2" s="217" t="s">
        <v>34</v>
      </c>
      <c r="H2" s="217"/>
      <c r="I2" s="217"/>
      <c r="J2" s="217" t="s">
        <v>89</v>
      </c>
      <c r="K2" s="217"/>
      <c r="L2" s="217"/>
      <c r="M2" s="217" t="s">
        <v>90</v>
      </c>
      <c r="N2" s="217"/>
      <c r="O2" s="217"/>
    </row>
    <row r="3" spans="1:15">
      <c r="A3" s="217"/>
      <c r="B3" s="217"/>
      <c r="C3" s="217"/>
      <c r="D3" s="127" t="s">
        <v>9</v>
      </c>
      <c r="E3" s="127" t="s">
        <v>10</v>
      </c>
      <c r="F3" s="127" t="s">
        <v>11</v>
      </c>
      <c r="G3" s="127" t="s">
        <v>9</v>
      </c>
      <c r="H3" s="127" t="s">
        <v>10</v>
      </c>
      <c r="I3" s="127" t="s">
        <v>11</v>
      </c>
      <c r="J3" s="127" t="s">
        <v>9</v>
      </c>
      <c r="K3" s="127" t="s">
        <v>10</v>
      </c>
      <c r="L3" s="127" t="s">
        <v>11</v>
      </c>
      <c r="M3" s="127" t="s">
        <v>9</v>
      </c>
      <c r="N3" s="127" t="s">
        <v>10</v>
      </c>
      <c r="O3" s="127" t="s">
        <v>11</v>
      </c>
    </row>
    <row r="4" spans="1:15" ht="30" customHeight="1">
      <c r="A4" s="10">
        <v>1</v>
      </c>
      <c r="B4" s="46" t="s">
        <v>45</v>
      </c>
      <c r="C4" s="151" t="s">
        <v>91</v>
      </c>
      <c r="D4" s="10"/>
      <c r="E4" s="10"/>
      <c r="F4" s="10">
        <v>30</v>
      </c>
      <c r="G4" s="10"/>
      <c r="H4" s="10"/>
      <c r="I4" s="46">
        <v>120</v>
      </c>
      <c r="J4" s="10"/>
      <c r="K4" s="10"/>
      <c r="L4" s="46">
        <v>18.5</v>
      </c>
      <c r="M4" s="10"/>
      <c r="N4" s="10"/>
      <c r="O4" s="46">
        <v>22.5</v>
      </c>
    </row>
    <row r="5" spans="1:15" ht="31.5" customHeight="1">
      <c r="A5" s="10">
        <v>2</v>
      </c>
      <c r="B5" s="46" t="s">
        <v>92</v>
      </c>
      <c r="C5" s="151" t="s">
        <v>93</v>
      </c>
      <c r="D5" s="10"/>
      <c r="E5" s="10">
        <v>24.56</v>
      </c>
      <c r="F5" s="10"/>
      <c r="G5" s="10"/>
      <c r="H5" s="10"/>
      <c r="I5" s="46"/>
      <c r="J5" s="10"/>
      <c r="K5" s="10"/>
      <c r="L5" s="46"/>
      <c r="M5" s="10"/>
      <c r="N5" s="10">
        <v>6</v>
      </c>
      <c r="O5" s="46"/>
    </row>
    <row r="6" spans="1:15" ht="32.1" customHeight="1">
      <c r="A6" s="10"/>
      <c r="B6" s="6"/>
      <c r="C6" s="6"/>
      <c r="D6" s="3"/>
      <c r="E6" s="3"/>
      <c r="F6" s="3"/>
      <c r="G6" s="3"/>
      <c r="H6" s="3"/>
      <c r="I6" s="6"/>
      <c r="J6" s="3"/>
      <c r="K6" s="3"/>
      <c r="L6" s="6"/>
      <c r="M6" s="3"/>
      <c r="N6" s="3"/>
      <c r="O6" s="6"/>
    </row>
    <row r="7" spans="1:15" ht="39" customHeight="1">
      <c r="A7" s="10"/>
      <c r="B7" s="6"/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>
      <c r="A8" s="10"/>
      <c r="B8" s="6"/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>
      <c r="A9" s="10"/>
      <c r="B9" s="6"/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10"/>
      <c r="B10" s="6"/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10"/>
      <c r="B11" s="6"/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10"/>
      <c r="B12" s="6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10"/>
      <c r="B13" s="6"/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10"/>
      <c r="B14" s="6"/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10"/>
      <c r="B15" s="6"/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A16" s="10"/>
      <c r="B16" s="6"/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>
      <c r="A17" s="10"/>
      <c r="B17" s="6"/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>
      <c r="A18" s="10"/>
      <c r="B18" s="6"/>
      <c r="C18" s="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>
      <c r="A19" s="10"/>
      <c r="B19" s="6"/>
      <c r="C19" s="6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</sheetData>
  <mergeCells count="8">
    <mergeCell ref="A1:O1"/>
    <mergeCell ref="D2:F2"/>
    <mergeCell ref="G2:I2"/>
    <mergeCell ref="J2:L2"/>
    <mergeCell ref="M2:O2"/>
    <mergeCell ref="A2:A3"/>
    <mergeCell ref="B2:B3"/>
    <mergeCell ref="C2:C3"/>
  </mergeCells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9" tint="-0.499984740745262"/>
  </sheetPr>
  <dimension ref="A1:O23"/>
  <sheetViews>
    <sheetView workbookViewId="0">
      <selection activeCell="G25" sqref="G25"/>
    </sheetView>
  </sheetViews>
  <sheetFormatPr defaultColWidth="9.875" defaultRowHeight="14.25"/>
  <cols>
    <col min="1" max="1" width="9.875" style="88"/>
    <col min="2" max="2" width="17.75" style="88" customWidth="1"/>
    <col min="3" max="3" width="26.125" style="88" customWidth="1"/>
    <col min="4" max="4" width="6.375" style="88" customWidth="1"/>
    <col min="5" max="5" width="7.875" style="88" customWidth="1"/>
    <col min="6" max="6" width="6.875" style="88" customWidth="1"/>
    <col min="7" max="7" width="6.25" style="88" customWidth="1"/>
    <col min="8" max="8" width="6.375" style="88" customWidth="1"/>
    <col min="9" max="9" width="6.25" style="88" customWidth="1"/>
    <col min="10" max="11" width="7.375" style="88" customWidth="1"/>
    <col min="12" max="12" width="6.875" style="88" customWidth="1"/>
    <col min="13" max="13" width="5.5" style="88" customWidth="1"/>
    <col min="14" max="14" width="6" style="88" customWidth="1"/>
    <col min="15" max="15" width="6.625" style="88" customWidth="1"/>
    <col min="16" max="16384" width="9.875" style="88"/>
  </cols>
  <sheetData>
    <row r="1" spans="1:15" ht="24" customHeight="1" thickTop="1" thickBot="1">
      <c r="A1" s="241" t="s">
        <v>127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2"/>
    </row>
    <row r="2" spans="1:15" ht="15" thickTop="1">
      <c r="A2" s="248" t="s">
        <v>0</v>
      </c>
      <c r="B2" s="250" t="s">
        <v>2</v>
      </c>
      <c r="C2" s="251" t="s">
        <v>3</v>
      </c>
      <c r="D2" s="243" t="s">
        <v>26</v>
      </c>
      <c r="E2" s="243"/>
      <c r="F2" s="244"/>
      <c r="G2" s="245" t="s">
        <v>27</v>
      </c>
      <c r="H2" s="246"/>
      <c r="I2" s="247"/>
      <c r="J2" s="245" t="s">
        <v>28</v>
      </c>
      <c r="K2" s="246"/>
      <c r="L2" s="247"/>
      <c r="M2" s="245" t="s">
        <v>29</v>
      </c>
      <c r="N2" s="246"/>
      <c r="O2" s="247"/>
    </row>
    <row r="3" spans="1:15">
      <c r="A3" s="249"/>
      <c r="B3" s="246"/>
      <c r="C3" s="247"/>
      <c r="D3" s="31" t="s">
        <v>9</v>
      </c>
      <c r="E3" s="15" t="s">
        <v>10</v>
      </c>
      <c r="F3" s="32" t="s">
        <v>11</v>
      </c>
      <c r="G3" s="31" t="s">
        <v>9</v>
      </c>
      <c r="H3" s="15" t="s">
        <v>10</v>
      </c>
      <c r="I3" s="33" t="s">
        <v>11</v>
      </c>
      <c r="J3" s="31" t="s">
        <v>9</v>
      </c>
      <c r="K3" s="15" t="s">
        <v>10</v>
      </c>
      <c r="L3" s="33" t="s">
        <v>11</v>
      </c>
      <c r="M3" s="31" t="s">
        <v>9</v>
      </c>
      <c r="N3" s="15" t="s">
        <v>10</v>
      </c>
      <c r="O3" s="33" t="s">
        <v>11</v>
      </c>
    </row>
    <row r="4" spans="1:15">
      <c r="A4" s="103">
        <v>1</v>
      </c>
      <c r="B4" s="24" t="s">
        <v>108</v>
      </c>
      <c r="C4" s="24" t="s">
        <v>19</v>
      </c>
      <c r="D4" s="24">
        <v>32</v>
      </c>
      <c r="E4" s="24">
        <v>32</v>
      </c>
      <c r="F4" s="24">
        <v>24</v>
      </c>
      <c r="G4" s="24"/>
      <c r="H4" s="24"/>
      <c r="I4" s="24">
        <v>88</v>
      </c>
      <c r="J4" s="24"/>
      <c r="K4" s="24"/>
      <c r="L4" s="24">
        <v>48.57</v>
      </c>
      <c r="M4" s="24"/>
      <c r="N4" s="24"/>
      <c r="O4" s="24">
        <v>53.43</v>
      </c>
    </row>
    <row r="5" spans="1:15">
      <c r="A5" s="103">
        <v>2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</row>
    <row r="6" spans="1:15">
      <c r="A6" s="103">
        <v>3</v>
      </c>
      <c r="B6" s="104"/>
      <c r="C6" s="104"/>
      <c r="D6" s="105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>
      <c r="A7" s="103">
        <v>4</v>
      </c>
      <c r="B7" s="104"/>
      <c r="C7" s="104"/>
      <c r="D7" s="105"/>
      <c r="E7" s="105"/>
      <c r="F7" s="105"/>
      <c r="G7" s="104"/>
      <c r="H7" s="104"/>
      <c r="I7" s="104"/>
      <c r="J7" s="104"/>
      <c r="K7" s="104"/>
      <c r="L7" s="104"/>
      <c r="M7" s="104"/>
      <c r="N7" s="104"/>
      <c r="O7" s="104"/>
    </row>
    <row r="8" spans="1:15">
      <c r="A8" s="34">
        <v>5</v>
      </c>
      <c r="B8" s="24"/>
      <c r="C8" s="24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</row>
    <row r="9" spans="1:15">
      <c r="A9" s="34">
        <v>6</v>
      </c>
      <c r="B9" s="24"/>
      <c r="C9" s="24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</row>
    <row r="10" spans="1:15">
      <c r="A10" s="34">
        <v>7</v>
      </c>
      <c r="B10" s="24"/>
      <c r="C10" s="24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</row>
    <row r="11" spans="1:15">
      <c r="A11" s="34">
        <v>8</v>
      </c>
      <c r="B11" s="24"/>
      <c r="C11" s="24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</row>
    <row r="12" spans="1:15">
      <c r="A12" s="34">
        <v>9</v>
      </c>
      <c r="B12" s="24"/>
      <c r="C12" s="24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</row>
    <row r="13" spans="1:15">
      <c r="A13" s="34">
        <v>10</v>
      </c>
      <c r="B13" s="24"/>
      <c r="C13" s="24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</row>
    <row r="14" spans="1:15">
      <c r="A14" s="34">
        <v>11</v>
      </c>
      <c r="B14" s="24"/>
      <c r="C14" s="24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</row>
    <row r="15" spans="1:15">
      <c r="A15" s="34">
        <v>12</v>
      </c>
      <c r="B15" s="24"/>
      <c r="C15" s="24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</row>
    <row r="16" spans="1:15">
      <c r="A16" s="34">
        <v>13</v>
      </c>
      <c r="B16" s="24"/>
      <c r="C16" s="24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</row>
    <row r="17" spans="1:15">
      <c r="A17" s="34">
        <v>14</v>
      </c>
      <c r="B17" s="24"/>
      <c r="C17" s="24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</row>
    <row r="18" spans="1:15">
      <c r="A18" s="34">
        <v>15</v>
      </c>
      <c r="B18" s="24"/>
      <c r="C18" s="24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</row>
    <row r="19" spans="1:15">
      <c r="A19" s="34">
        <v>16</v>
      </c>
      <c r="B19" s="24"/>
      <c r="C19" s="24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</row>
    <row r="20" spans="1:15">
      <c r="A20" s="34">
        <v>17</v>
      </c>
      <c r="B20" s="24"/>
      <c r="C20" s="24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</row>
    <row r="21" spans="1:15">
      <c r="A21" s="34">
        <v>18</v>
      </c>
      <c r="B21" s="24"/>
      <c r="C21" s="24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</row>
    <row r="22" spans="1:15">
      <c r="A22" s="34">
        <v>19</v>
      </c>
      <c r="B22" s="24"/>
      <c r="C22" s="24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</row>
    <row r="23" spans="1:15" ht="15" thickBot="1">
      <c r="A23" s="87">
        <v>20</v>
      </c>
      <c r="B23" s="24"/>
      <c r="C23" s="24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</row>
  </sheetData>
  <mergeCells count="8">
    <mergeCell ref="A1:O1"/>
    <mergeCell ref="D2:F2"/>
    <mergeCell ref="G2:I2"/>
    <mergeCell ref="J2:L2"/>
    <mergeCell ref="M2:O2"/>
    <mergeCell ref="A2:A3"/>
    <mergeCell ref="B2:B3"/>
    <mergeCell ref="C2:C3"/>
  </mergeCells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theme="9" tint="-0.499984740745262"/>
  </sheetPr>
  <dimension ref="A1:O23"/>
  <sheetViews>
    <sheetView workbookViewId="0">
      <selection activeCell="F36" sqref="F36"/>
    </sheetView>
  </sheetViews>
  <sheetFormatPr defaultColWidth="9" defaultRowHeight="14.25"/>
  <cols>
    <col min="2" max="2" width="12.875" customWidth="1"/>
    <col min="3" max="3" width="38" customWidth="1"/>
  </cols>
  <sheetData>
    <row r="1" spans="1:15" ht="21.75" thickTop="1" thickBot="1">
      <c r="A1" s="258" t="s">
        <v>126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9"/>
    </row>
    <row r="2" spans="1:15">
      <c r="A2" s="266" t="s">
        <v>0</v>
      </c>
      <c r="B2" s="268" t="s">
        <v>2</v>
      </c>
      <c r="C2" s="269" t="s">
        <v>3</v>
      </c>
      <c r="D2" s="260" t="s">
        <v>26</v>
      </c>
      <c r="E2" s="260"/>
      <c r="F2" s="261"/>
      <c r="G2" s="262" t="s">
        <v>27</v>
      </c>
      <c r="H2" s="263"/>
      <c r="I2" s="264"/>
      <c r="J2" s="262" t="s">
        <v>28</v>
      </c>
      <c r="K2" s="263"/>
      <c r="L2" s="264"/>
      <c r="M2" s="262" t="s">
        <v>29</v>
      </c>
      <c r="N2" s="263"/>
      <c r="O2" s="265"/>
    </row>
    <row r="3" spans="1:15">
      <c r="A3" s="267"/>
      <c r="B3" s="246"/>
      <c r="C3" s="247"/>
      <c r="D3" s="31" t="s">
        <v>9</v>
      </c>
      <c r="E3" s="15" t="s">
        <v>10</v>
      </c>
      <c r="F3" s="32" t="s">
        <v>11</v>
      </c>
      <c r="G3" s="31" t="s">
        <v>9</v>
      </c>
      <c r="H3" s="15" t="s">
        <v>10</v>
      </c>
      <c r="I3" s="33" t="s">
        <v>11</v>
      </c>
      <c r="J3" s="31" t="s">
        <v>9</v>
      </c>
      <c r="K3" s="15" t="s">
        <v>10</v>
      </c>
      <c r="L3" s="33" t="s">
        <v>11</v>
      </c>
      <c r="M3" s="31" t="s">
        <v>9</v>
      </c>
      <c r="N3" s="15" t="s">
        <v>10</v>
      </c>
      <c r="O3" s="95" t="s">
        <v>11</v>
      </c>
    </row>
    <row r="4" spans="1:15" ht="17.25" customHeight="1">
      <c r="A4" s="96">
        <v>1</v>
      </c>
      <c r="B4" s="152" t="s">
        <v>16</v>
      </c>
      <c r="C4" s="111" t="s">
        <v>17</v>
      </c>
      <c r="D4" s="153">
        <v>17</v>
      </c>
      <c r="E4" s="154">
        <v>21</v>
      </c>
      <c r="F4" s="155">
        <v>26</v>
      </c>
      <c r="G4" s="156"/>
      <c r="H4" s="157"/>
      <c r="I4" s="158"/>
      <c r="J4" s="156">
        <v>3.5</v>
      </c>
      <c r="K4" s="157">
        <v>2</v>
      </c>
      <c r="L4" s="158">
        <v>4</v>
      </c>
      <c r="M4" s="156">
        <v>5</v>
      </c>
      <c r="N4" s="157">
        <v>3</v>
      </c>
      <c r="O4" s="158">
        <v>3</v>
      </c>
    </row>
    <row r="5" spans="1:15">
      <c r="A5" s="96">
        <v>2</v>
      </c>
      <c r="B5" s="152" t="s">
        <v>52</v>
      </c>
      <c r="C5" s="159" t="s">
        <v>53</v>
      </c>
      <c r="D5" s="153">
        <v>35</v>
      </c>
      <c r="E5" s="154">
        <v>14</v>
      </c>
      <c r="F5" s="112">
        <v>24</v>
      </c>
      <c r="G5" s="156"/>
      <c r="H5" s="157"/>
      <c r="I5" s="160"/>
      <c r="J5" s="157">
        <v>8</v>
      </c>
      <c r="K5" s="157">
        <v>7</v>
      </c>
      <c r="L5" s="160">
        <v>3</v>
      </c>
      <c r="M5" s="157">
        <v>3</v>
      </c>
      <c r="N5" s="157">
        <v>8</v>
      </c>
      <c r="O5" s="160">
        <v>3</v>
      </c>
    </row>
    <row r="6" spans="1:15">
      <c r="A6" s="96">
        <v>3</v>
      </c>
      <c r="B6" s="152" t="s">
        <v>96</v>
      </c>
      <c r="C6" s="159" t="s">
        <v>97</v>
      </c>
      <c r="D6" s="157">
        <v>22</v>
      </c>
      <c r="E6" s="157">
        <v>15</v>
      </c>
      <c r="F6" s="160">
        <v>10</v>
      </c>
      <c r="G6" s="161"/>
      <c r="H6" s="161"/>
      <c r="I6" s="160"/>
      <c r="J6" s="157">
        <v>4</v>
      </c>
      <c r="K6" s="157">
        <v>9</v>
      </c>
      <c r="L6" s="160">
        <v>5</v>
      </c>
      <c r="M6" s="157">
        <v>7</v>
      </c>
      <c r="N6" s="157">
        <v>2</v>
      </c>
      <c r="O6" s="160">
        <v>2</v>
      </c>
    </row>
    <row r="7" spans="1:15">
      <c r="A7" s="97">
        <v>4</v>
      </c>
      <c r="B7" s="86"/>
      <c r="C7" s="94"/>
      <c r="D7" s="86"/>
      <c r="E7" s="86"/>
      <c r="F7" s="94"/>
      <c r="G7" s="24"/>
      <c r="H7" s="24"/>
      <c r="I7" s="94"/>
      <c r="J7" s="24"/>
      <c r="K7" s="24"/>
      <c r="L7" s="94"/>
      <c r="M7" s="24"/>
      <c r="N7" s="24"/>
      <c r="O7" s="85"/>
    </row>
    <row r="8" spans="1:15">
      <c r="A8" s="97">
        <v>5</v>
      </c>
      <c r="B8" s="24"/>
      <c r="C8" s="94"/>
      <c r="D8" s="86"/>
      <c r="E8" s="86"/>
      <c r="F8" s="94"/>
      <c r="G8" s="86"/>
      <c r="H8" s="86"/>
      <c r="I8" s="94"/>
      <c r="J8" s="86"/>
      <c r="K8" s="86"/>
      <c r="L8" s="94"/>
      <c r="M8" s="86"/>
      <c r="N8" s="86"/>
      <c r="O8" s="85"/>
    </row>
    <row r="9" spans="1:15">
      <c r="A9" s="97">
        <v>6</v>
      </c>
      <c r="B9" s="24"/>
      <c r="C9" s="94"/>
      <c r="D9" s="86"/>
      <c r="E9" s="86"/>
      <c r="F9" s="94"/>
      <c r="G9" s="86"/>
      <c r="H9" s="86"/>
      <c r="I9" s="94"/>
      <c r="J9" s="86"/>
      <c r="K9" s="86"/>
      <c r="L9" s="94"/>
      <c r="M9" s="86"/>
      <c r="N9" s="86"/>
      <c r="O9" s="85"/>
    </row>
    <row r="10" spans="1:15">
      <c r="A10" s="97">
        <v>7</v>
      </c>
      <c r="B10" s="24"/>
      <c r="C10" s="94"/>
      <c r="D10" s="86"/>
      <c r="E10" s="86"/>
      <c r="F10" s="94"/>
      <c r="G10" s="86"/>
      <c r="H10" s="86"/>
      <c r="I10" s="94"/>
      <c r="J10" s="86"/>
      <c r="K10" s="86"/>
      <c r="L10" s="94"/>
      <c r="M10" s="86"/>
      <c r="N10" s="86"/>
      <c r="O10" s="85"/>
    </row>
    <row r="11" spans="1:15">
      <c r="A11" s="97">
        <v>8</v>
      </c>
      <c r="B11" s="24"/>
      <c r="C11" s="94"/>
      <c r="D11" s="86"/>
      <c r="E11" s="86"/>
      <c r="F11" s="94"/>
      <c r="G11" s="86"/>
      <c r="H11" s="86"/>
      <c r="I11" s="94"/>
      <c r="J11" s="86"/>
      <c r="K11" s="86"/>
      <c r="L11" s="94"/>
      <c r="M11" s="86"/>
      <c r="N11" s="86"/>
      <c r="O11" s="85"/>
    </row>
    <row r="12" spans="1:15">
      <c r="A12" s="97">
        <v>9</v>
      </c>
      <c r="B12" s="24"/>
      <c r="C12" s="94"/>
      <c r="D12" s="86"/>
      <c r="E12" s="86"/>
      <c r="F12" s="94"/>
      <c r="G12" s="86"/>
      <c r="H12" s="86"/>
      <c r="I12" s="94"/>
      <c r="J12" s="86"/>
      <c r="K12" s="86"/>
      <c r="L12" s="94"/>
      <c r="M12" s="86"/>
      <c r="N12" s="86"/>
      <c r="O12" s="85"/>
    </row>
    <row r="13" spans="1:15">
      <c r="A13" s="97">
        <v>10</v>
      </c>
      <c r="B13" s="24"/>
      <c r="C13" s="94"/>
      <c r="D13" s="86"/>
      <c r="E13" s="86"/>
      <c r="F13" s="94"/>
      <c r="G13" s="86"/>
      <c r="H13" s="86"/>
      <c r="I13" s="94"/>
      <c r="J13" s="86"/>
      <c r="K13" s="86"/>
      <c r="L13" s="94"/>
      <c r="M13" s="86"/>
      <c r="N13" s="86"/>
      <c r="O13" s="85"/>
    </row>
    <row r="14" spans="1:15">
      <c r="A14" s="97">
        <v>11</v>
      </c>
      <c r="B14" s="24"/>
      <c r="C14" s="94"/>
      <c r="D14" s="86"/>
      <c r="E14" s="86"/>
      <c r="F14" s="94"/>
      <c r="G14" s="86"/>
      <c r="H14" s="86"/>
      <c r="I14" s="94"/>
      <c r="J14" s="86"/>
      <c r="K14" s="86"/>
      <c r="L14" s="94"/>
      <c r="M14" s="86"/>
      <c r="N14" s="86"/>
      <c r="O14" s="85"/>
    </row>
    <row r="15" spans="1:15">
      <c r="A15" s="97">
        <v>12</v>
      </c>
      <c r="B15" s="24"/>
      <c r="C15" s="94"/>
      <c r="D15" s="86"/>
      <c r="E15" s="86"/>
      <c r="F15" s="94"/>
      <c r="G15" s="86"/>
      <c r="H15" s="86"/>
      <c r="I15" s="94"/>
      <c r="J15" s="86"/>
      <c r="K15" s="86"/>
      <c r="L15" s="94"/>
      <c r="M15" s="86"/>
      <c r="N15" s="86"/>
      <c r="O15" s="85"/>
    </row>
    <row r="16" spans="1:15">
      <c r="A16" s="97">
        <v>13</v>
      </c>
      <c r="B16" s="24"/>
      <c r="C16" s="94"/>
      <c r="D16" s="86"/>
      <c r="E16" s="86"/>
      <c r="F16" s="94"/>
      <c r="G16" s="86"/>
      <c r="H16" s="86"/>
      <c r="I16" s="94"/>
      <c r="J16" s="86"/>
      <c r="K16" s="86"/>
      <c r="L16" s="94"/>
      <c r="M16" s="86"/>
      <c r="N16" s="86"/>
      <c r="O16" s="85"/>
    </row>
    <row r="17" spans="1:15">
      <c r="A17" s="97">
        <v>14</v>
      </c>
      <c r="B17" s="24"/>
      <c r="C17" s="94"/>
      <c r="D17" s="86"/>
      <c r="E17" s="86"/>
      <c r="F17" s="94"/>
      <c r="G17" s="86"/>
      <c r="H17" s="86"/>
      <c r="I17" s="94"/>
      <c r="J17" s="86"/>
      <c r="K17" s="86"/>
      <c r="L17" s="94"/>
      <c r="M17" s="86"/>
      <c r="N17" s="86"/>
      <c r="O17" s="85"/>
    </row>
    <row r="18" spans="1:15">
      <c r="A18" s="97">
        <v>15</v>
      </c>
      <c r="B18" s="24"/>
      <c r="C18" s="24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98"/>
    </row>
    <row r="19" spans="1:15">
      <c r="A19" s="97">
        <v>16</v>
      </c>
      <c r="B19" s="24"/>
      <c r="C19" s="24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98"/>
    </row>
    <row r="20" spans="1:15">
      <c r="A20" s="97">
        <v>17</v>
      </c>
      <c r="B20" s="24"/>
      <c r="C20" s="24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98"/>
    </row>
    <row r="21" spans="1:15">
      <c r="A21" s="97">
        <v>18</v>
      </c>
      <c r="B21" s="24"/>
      <c r="C21" s="24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98"/>
    </row>
    <row r="22" spans="1:15">
      <c r="A22" s="97">
        <v>19</v>
      </c>
      <c r="B22" s="24"/>
      <c r="C22" s="24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98"/>
    </row>
    <row r="23" spans="1:15" ht="15" thickBot="1">
      <c r="A23" s="99">
        <v>20</v>
      </c>
      <c r="B23" s="100"/>
      <c r="C23" s="100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2"/>
    </row>
  </sheetData>
  <mergeCells count="8">
    <mergeCell ref="A1:O1"/>
    <mergeCell ref="D2:F2"/>
    <mergeCell ref="G2:I2"/>
    <mergeCell ref="J2:L2"/>
    <mergeCell ref="M2:O2"/>
    <mergeCell ref="A2:A3"/>
    <mergeCell ref="B2:B3"/>
    <mergeCell ref="C2:C3"/>
  </mergeCells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theme="9" tint="-0.499984740745262"/>
  </sheetPr>
  <dimension ref="A1:O23"/>
  <sheetViews>
    <sheetView workbookViewId="0">
      <selection activeCell="G18" sqref="G18"/>
    </sheetView>
  </sheetViews>
  <sheetFormatPr defaultColWidth="9" defaultRowHeight="14.25"/>
  <cols>
    <col min="2" max="2" width="14.625" customWidth="1"/>
    <col min="3" max="3" width="24.875" customWidth="1"/>
    <col min="4" max="4" width="5.875" customWidth="1"/>
    <col min="5" max="5" width="7.25" customWidth="1"/>
    <col min="6" max="6" width="6.375" customWidth="1"/>
    <col min="7" max="7" width="5.75" customWidth="1"/>
    <col min="8" max="8" width="5.875" customWidth="1"/>
    <col min="9" max="9" width="5.75" customWidth="1"/>
    <col min="10" max="11" width="6.75" customWidth="1"/>
    <col min="12" max="12" width="6.25" customWidth="1"/>
    <col min="13" max="13" width="5.125" customWidth="1"/>
    <col min="14" max="14" width="5.5" customWidth="1"/>
    <col min="15" max="15" width="6.125" customWidth="1"/>
  </cols>
  <sheetData>
    <row r="1" spans="1:15" ht="24" customHeight="1">
      <c r="A1" s="216" t="s">
        <v>125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</row>
    <row r="2" spans="1:15">
      <c r="A2" s="225" t="s">
        <v>0</v>
      </c>
      <c r="B2" s="223" t="s">
        <v>2</v>
      </c>
      <c r="C2" s="223" t="s">
        <v>3</v>
      </c>
      <c r="D2" s="223" t="s">
        <v>26</v>
      </c>
      <c r="E2" s="223"/>
      <c r="F2" s="223"/>
      <c r="G2" s="223" t="s">
        <v>27</v>
      </c>
      <c r="H2" s="223"/>
      <c r="I2" s="223"/>
      <c r="J2" s="223" t="s">
        <v>28</v>
      </c>
      <c r="K2" s="223"/>
      <c r="L2" s="223"/>
      <c r="M2" s="223" t="s">
        <v>29</v>
      </c>
      <c r="N2" s="223"/>
      <c r="O2" s="223"/>
    </row>
    <row r="3" spans="1:15">
      <c r="A3" s="226"/>
      <c r="B3" s="217"/>
      <c r="C3" s="217"/>
      <c r="D3" s="1" t="s">
        <v>9</v>
      </c>
      <c r="E3" s="1" t="s">
        <v>10</v>
      </c>
      <c r="F3" s="1" t="s">
        <v>11</v>
      </c>
      <c r="G3" s="1" t="s">
        <v>9</v>
      </c>
      <c r="H3" s="1" t="s">
        <v>10</v>
      </c>
      <c r="I3" s="1" t="s">
        <v>11</v>
      </c>
      <c r="J3" s="1" t="s">
        <v>9</v>
      </c>
      <c r="K3" s="1" t="s">
        <v>10</v>
      </c>
      <c r="L3" s="1" t="s">
        <v>11</v>
      </c>
      <c r="M3" s="1" t="s">
        <v>9</v>
      </c>
      <c r="N3" s="1" t="s">
        <v>10</v>
      </c>
      <c r="O3" s="1" t="s">
        <v>11</v>
      </c>
    </row>
    <row r="4" spans="1:15" s="70" customFormat="1" ht="41.1" customHeight="1">
      <c r="A4" s="65" t="s">
        <v>40</v>
      </c>
      <c r="B4" s="65" t="s">
        <v>41</v>
      </c>
      <c r="C4" s="66" t="s">
        <v>42</v>
      </c>
      <c r="D4" s="67"/>
      <c r="E4" s="68"/>
      <c r="F4" s="69"/>
      <c r="G4" s="190"/>
      <c r="H4" s="69"/>
      <c r="I4" s="69">
        <v>8</v>
      </c>
      <c r="J4" s="190"/>
      <c r="K4" s="190"/>
      <c r="L4" s="69"/>
      <c r="M4" s="190"/>
      <c r="N4" s="69"/>
      <c r="O4" s="69"/>
    </row>
    <row r="5" spans="1:15" s="70" customFormat="1" ht="48" customHeight="1">
      <c r="A5" s="65" t="s">
        <v>43</v>
      </c>
      <c r="B5" s="65" t="s">
        <v>70</v>
      </c>
      <c r="C5" s="66" t="s">
        <v>71</v>
      </c>
      <c r="D5" s="191"/>
      <c r="E5" s="69"/>
      <c r="F5" s="69">
        <v>8</v>
      </c>
      <c r="G5" s="192"/>
      <c r="H5" s="69"/>
      <c r="I5" s="69"/>
      <c r="J5" s="192"/>
      <c r="K5" s="67"/>
      <c r="L5" s="69"/>
      <c r="M5" s="192"/>
      <c r="N5" s="69"/>
      <c r="O5" s="69"/>
    </row>
    <row r="6" spans="1:15">
      <c r="A6" s="8">
        <v>3</v>
      </c>
      <c r="B6" s="128" t="s">
        <v>72</v>
      </c>
      <c r="C6" s="129" t="s">
        <v>73</v>
      </c>
      <c r="D6" s="67"/>
      <c r="E6" s="67">
        <v>84</v>
      </c>
      <c r="F6" s="67"/>
      <c r="G6" s="67"/>
      <c r="H6" s="69"/>
      <c r="I6" s="67"/>
      <c r="J6" s="67"/>
      <c r="K6" s="67">
        <v>8.5</v>
      </c>
      <c r="L6" s="67"/>
      <c r="M6" s="67"/>
      <c r="N6" s="67">
        <v>8</v>
      </c>
      <c r="O6" s="67"/>
    </row>
    <row r="7" spans="1:15" ht="28.5">
      <c r="A7" s="8">
        <v>4</v>
      </c>
      <c r="B7" s="193" t="s">
        <v>76</v>
      </c>
      <c r="C7" s="194" t="s">
        <v>115</v>
      </c>
      <c r="D7" s="67"/>
      <c r="E7" s="67">
        <v>80</v>
      </c>
      <c r="F7" s="67"/>
      <c r="G7" s="67"/>
      <c r="H7" s="67"/>
      <c r="I7" s="67"/>
      <c r="J7" s="67"/>
      <c r="K7" s="67"/>
      <c r="L7" s="67"/>
      <c r="M7" s="67"/>
      <c r="N7" s="67"/>
      <c r="O7" s="67"/>
    </row>
    <row r="8" spans="1:15">
      <c r="A8" s="8"/>
      <c r="B8" s="6"/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5">
      <c r="A9" s="8"/>
      <c r="B9" s="6"/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5">
      <c r="A10" s="8"/>
      <c r="B10" s="6"/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>
      <c r="A11" s="8"/>
      <c r="B11" s="6"/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8"/>
      <c r="B12" s="6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8"/>
      <c r="B13" s="6"/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8"/>
      <c r="B14" s="6"/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8"/>
      <c r="B15" s="6"/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A16" s="8"/>
      <c r="B16" s="6"/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>
      <c r="A17" s="8"/>
      <c r="B17" s="6"/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>
      <c r="A18" s="8"/>
      <c r="B18" s="6"/>
      <c r="C18" s="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>
      <c r="A19" s="8"/>
      <c r="B19" s="6"/>
      <c r="C19" s="6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>
      <c r="A20" s="8"/>
      <c r="B20" s="6"/>
      <c r="C20" s="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>
      <c r="A21" s="8"/>
      <c r="B21" s="6"/>
      <c r="C21" s="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>
      <c r="A22" s="8"/>
      <c r="B22" s="6"/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>
      <c r="A23" s="14"/>
      <c r="B23" s="6"/>
      <c r="C23" s="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</sheetData>
  <mergeCells count="8">
    <mergeCell ref="A1:O1"/>
    <mergeCell ref="D2:F2"/>
    <mergeCell ref="G2:I2"/>
    <mergeCell ref="J2:L2"/>
    <mergeCell ref="M2:O2"/>
    <mergeCell ref="A2:A3"/>
    <mergeCell ref="B2:B3"/>
    <mergeCell ref="C2:C3"/>
  </mergeCells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zoomScale="85" zoomScaleNormal="85" workbookViewId="0">
      <selection activeCell="J16" sqref="J16"/>
    </sheetView>
  </sheetViews>
  <sheetFormatPr defaultColWidth="9" defaultRowHeight="13.5"/>
  <cols>
    <col min="1" max="1" width="9" style="36"/>
    <col min="2" max="2" width="26.125" style="36" customWidth="1"/>
    <col min="3" max="3" width="38.75" style="36" customWidth="1"/>
    <col min="4" max="16384" width="9" style="36"/>
  </cols>
  <sheetData>
    <row r="1" spans="1:15" ht="21.75" thickTop="1" thickBot="1">
      <c r="A1" s="270" t="s">
        <v>104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  <c r="O1" s="271"/>
    </row>
    <row r="2" spans="1:15" ht="14.25">
      <c r="A2" s="272" t="s">
        <v>0</v>
      </c>
      <c r="B2" s="274" t="s">
        <v>2</v>
      </c>
      <c r="C2" s="274" t="s">
        <v>3</v>
      </c>
      <c r="D2" s="274" t="s">
        <v>26</v>
      </c>
      <c r="E2" s="274"/>
      <c r="F2" s="274"/>
      <c r="G2" s="274" t="s">
        <v>27</v>
      </c>
      <c r="H2" s="274"/>
      <c r="I2" s="274"/>
      <c r="J2" s="274" t="s">
        <v>28</v>
      </c>
      <c r="K2" s="274"/>
      <c r="L2" s="274"/>
      <c r="M2" s="274" t="s">
        <v>29</v>
      </c>
      <c r="N2" s="274"/>
      <c r="O2" s="276"/>
    </row>
    <row r="3" spans="1:15" ht="14.25">
      <c r="A3" s="273"/>
      <c r="B3" s="275"/>
      <c r="C3" s="275"/>
      <c r="D3" s="177" t="s">
        <v>9</v>
      </c>
      <c r="E3" s="177" t="s">
        <v>10</v>
      </c>
      <c r="F3" s="177" t="s">
        <v>11</v>
      </c>
      <c r="G3" s="177" t="s">
        <v>9</v>
      </c>
      <c r="H3" s="177" t="s">
        <v>10</v>
      </c>
      <c r="I3" s="177" t="s">
        <v>11</v>
      </c>
      <c r="J3" s="177" t="s">
        <v>9</v>
      </c>
      <c r="K3" s="177" t="s">
        <v>10</v>
      </c>
      <c r="L3" s="177" t="s">
        <v>11</v>
      </c>
      <c r="M3" s="177" t="s">
        <v>9</v>
      </c>
      <c r="N3" s="177" t="s">
        <v>10</v>
      </c>
      <c r="O3" s="178" t="s">
        <v>11</v>
      </c>
    </row>
    <row r="4" spans="1:15" ht="23.25" customHeight="1" thickBot="1">
      <c r="A4" s="23">
        <v>1</v>
      </c>
      <c r="B4" s="28" t="s">
        <v>16</v>
      </c>
      <c r="C4" s="29" t="s">
        <v>37</v>
      </c>
      <c r="D4" s="10">
        <v>0</v>
      </c>
      <c r="E4" s="10">
        <v>92</v>
      </c>
      <c r="F4" s="10">
        <v>92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67.5</v>
      </c>
      <c r="M4" s="10">
        <v>0</v>
      </c>
      <c r="N4" s="10">
        <v>0</v>
      </c>
      <c r="O4" s="92">
        <v>22.5</v>
      </c>
    </row>
    <row r="5" spans="1:15" ht="14.25">
      <c r="A5" s="23">
        <v>2</v>
      </c>
      <c r="B5" s="157"/>
      <c r="C5" s="17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92"/>
    </row>
    <row r="6" spans="1:15" ht="15" thickBot="1">
      <c r="A6" s="180">
        <v>3</v>
      </c>
      <c r="B6" s="28"/>
      <c r="C6" s="29"/>
      <c r="D6" s="28"/>
      <c r="E6" s="28"/>
      <c r="F6" s="28"/>
      <c r="G6" s="29"/>
      <c r="H6" s="29"/>
      <c r="I6" s="29"/>
      <c r="J6" s="29"/>
      <c r="K6" s="29"/>
      <c r="L6" s="29"/>
      <c r="M6" s="29"/>
      <c r="N6" s="29"/>
      <c r="O6" s="181"/>
    </row>
  </sheetData>
  <mergeCells count="8">
    <mergeCell ref="A1:O1"/>
    <mergeCell ref="A2:A3"/>
    <mergeCell ref="B2:B3"/>
    <mergeCell ref="C2:C3"/>
    <mergeCell ref="D2:F2"/>
    <mergeCell ref="G2:I2"/>
    <mergeCell ref="J2:L2"/>
    <mergeCell ref="M2:O2"/>
  </mergeCells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12月</vt:lpstr>
      <vt:lpstr>12月-项目工时汇总</vt:lpstr>
      <vt:lpstr>1-黎佩锋</vt:lpstr>
      <vt:lpstr>11-刘志洪</vt:lpstr>
      <vt:lpstr>7-林宇寰</vt:lpstr>
      <vt:lpstr>10-黄佳根</vt:lpstr>
      <vt:lpstr>8-田求发</vt:lpstr>
      <vt:lpstr>2-梁柱</vt:lpstr>
      <vt:lpstr>9-张建卿</vt:lpstr>
      <vt:lpstr>6-唐孝日</vt:lpstr>
      <vt:lpstr>5-陈社海</vt:lpstr>
      <vt:lpstr>4-席程</vt:lpstr>
      <vt:lpstr>3-何永志</vt:lpstr>
      <vt:lpstr>12-王伟超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2018-02-09T07:00:00Z</cp:lastPrinted>
  <dcterms:created xsi:type="dcterms:W3CDTF">2017-03-02T10:00:00Z</dcterms:created>
  <dcterms:modified xsi:type="dcterms:W3CDTF">2026-01-10T04:16:16Z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KSORubyTemplateID" linkTarget="0">
    <vt:lpwstr>11</vt:lpwstr>
  </property>
  <property fmtid="{D5CDD505-2E9C-101B-9397-08002B2CF9AE}" pid="4" name="ICV">
    <vt:lpwstr>DD9F6B335EEE4CEC8468FA16B7E1D370_13</vt:lpwstr>
  </property>
  <property fmtid="{D5CDD505-2E9C-101B-9397-08002B2CF9AE}" pid="5" name="KSOReadingLayout">
    <vt:bool>true</vt:bool>
  </property>
</Properties>
</file>
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概述" sheetId="1" state="visible" r:id="rId1"/>
    <sheet xmlns:r="http://schemas.openxmlformats.org/officeDocument/2006/relationships" name="功能架构" sheetId="2" state="visible" r:id="rId2"/>
    <sheet xmlns:r="http://schemas.openxmlformats.org/officeDocument/2006/relationships" name="成本构成模型" sheetId="3" state="visible" r:id="rId3"/>
    <sheet xmlns:r="http://schemas.openxmlformats.org/officeDocument/2006/relationships" name="报价流程设计" sheetId="4" state="visible" r:id="rId4"/>
    <sheet xmlns:r="http://schemas.openxmlformats.org/officeDocument/2006/relationships" name="报价模板设计" sheetId="5" state="visible" r:id="rId5"/>
    <sheet xmlns:r="http://schemas.openxmlformats.org/officeDocument/2006/relationships" name="工时标准库" sheetId="6" state="visible" r:id="rId6"/>
    <sheet xmlns:r="http://schemas.openxmlformats.org/officeDocument/2006/relationships" name="项目成本归集" sheetId="7" state="visible" r:id="rId7"/>
    <sheet xmlns:r="http://schemas.openxmlformats.org/officeDocument/2006/relationships" name="成本分析报表" sheetId="8" state="visible" r:id="rId8"/>
    <sheet xmlns:r="http://schemas.openxmlformats.org/officeDocument/2006/relationships" name="数据模型" sheetId="9" state="visible" r:id="rId9"/>
    <sheet xmlns:r="http://schemas.openxmlformats.org/officeDocument/2006/relationships" name="数据模型(续)" sheetId="10" state="visible" r:id="rId10"/>
    <sheet xmlns:r="http://schemas.openxmlformats.org/officeDocument/2006/relationships" name="系统集成" sheetId="11" state="visible" r:id="rId11"/>
    <sheet xmlns:r="http://schemas.openxmlformats.org/officeDocument/2006/relationships" name="实施计划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1F4E79"/>
      <sz val="12"/>
    </font>
    <font>
      <b val="1"/>
      <color rgb="00FFFFFF"/>
      <sz val="11"/>
    </font>
    <font>
      <sz val="10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ED7D31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5" customWidth="1" min="4" max="4"/>
  </cols>
  <sheetData>
    <row r="1" ht="35" customHeight="1">
      <c r="A1" s="1" t="inlineStr">
        <is>
          <t>报价成本管理模块设计</t>
        </is>
      </c>
    </row>
    <row r="3">
      <c r="A3" s="2" t="inlineStr">
        <is>
          <t>编制日期</t>
        </is>
      </c>
      <c r="B3" t="inlineStr">
        <is>
          <t>2025年1月4日</t>
        </is>
      </c>
      <c r="C3" s="2" t="inlineStr">
        <is>
          <t>版本</t>
        </is>
      </c>
      <c r="D3" t="inlineStr">
        <is>
          <t>V1.0</t>
        </is>
      </c>
    </row>
    <row r="5" ht="25" customHeight="1">
      <c r="A5" s="3" t="inlineStr">
        <is>
          <t>一、业务背景</t>
        </is>
      </c>
    </row>
    <row r="6">
      <c r="A6" s="4" t="inlineStr">
        <is>
          <t>非标自动化设备的报价和成本管理是企业核心竞争力的关键：
1. 报价准确性：报价过高失去订单，报价过低亏损，需要精准的成本估算能力
2. 成本构成复杂：材料成本、人工成本、外协成本、管理费用等多维度
3. 项目差异大：每个项目都是定制化的，无法简单套用标准报价
4. 历史数据价值：历史项目成本数据是报价的重要参考依据
5. 成本控制：项目执行过程中需要实时监控成本，避免超支
6. 毛利分析：需要分析各项目、各客户、各产品线的盈利能力</t>
        </is>
      </c>
    </row>
    <row r="7"/>
    <row r="8"/>
    <row r="9"/>
    <row r="10"/>
    <row r="12" ht="25" customHeight="1">
      <c r="A12" s="3" t="inlineStr">
        <is>
          <t>二、当前痛点</t>
        </is>
      </c>
    </row>
    <row r="13">
      <c r="A13" s="5" t="inlineStr">
        <is>
          <t>序号</t>
        </is>
      </c>
      <c r="B13" s="5" t="inlineStr">
        <is>
          <t>痛点描述</t>
        </is>
      </c>
      <c r="C13" s="5" t="inlineStr">
        <is>
          <t>影响</t>
        </is>
      </c>
      <c r="D13" s="5" t="inlineStr">
        <is>
          <t>期望改进</t>
        </is>
      </c>
    </row>
    <row r="14">
      <c r="A14" s="6" t="inlineStr">
        <is>
          <t>1</t>
        </is>
      </c>
      <c r="B14" s="6" t="inlineStr">
        <is>
          <t>报价靠经验，缺乏数据支撑</t>
        </is>
      </c>
      <c r="C14" s="6" t="inlineStr">
        <is>
          <t>报价准确性低，要么丢单要么亏损</t>
        </is>
      </c>
      <c r="D14" s="6" t="inlineStr">
        <is>
          <t>建立报价模型，历史数据支撑</t>
        </is>
      </c>
    </row>
    <row r="15">
      <c r="A15" s="7" t="inlineStr">
        <is>
          <t>2</t>
        </is>
      </c>
      <c r="B15" s="7" t="inlineStr">
        <is>
          <t>成本估算不准确</t>
        </is>
      </c>
      <c r="C15" s="7" t="inlineStr">
        <is>
          <t>项目毛利无法保障</t>
        </is>
      </c>
      <c r="D15" s="7" t="inlineStr">
        <is>
          <t>多维度成本估算模板</t>
        </is>
      </c>
    </row>
    <row r="16">
      <c r="A16" s="6" t="inlineStr">
        <is>
          <t>3</t>
        </is>
      </c>
      <c r="B16" s="6" t="inlineStr">
        <is>
          <t>报价版本混乱</t>
        </is>
      </c>
      <c r="C16" s="6" t="inlineStr">
        <is>
          <t>不知道给客户报的是哪版价格</t>
        </is>
      </c>
      <c r="D16" s="6" t="inlineStr">
        <is>
          <t>报价版本管理，审批留痕</t>
        </is>
      </c>
    </row>
    <row r="17">
      <c r="A17" s="7" t="inlineStr">
        <is>
          <t>4</t>
        </is>
      </c>
      <c r="B17" s="7" t="inlineStr">
        <is>
          <t>实际成本难归集</t>
        </is>
      </c>
      <c r="C17" s="7" t="inlineStr">
        <is>
          <t>不知道项目到底赚了多少钱</t>
        </is>
      </c>
      <c r="D17" s="7" t="inlineStr">
        <is>
          <t>成本自动归集，实时可见</t>
        </is>
      </c>
    </row>
    <row r="18">
      <c r="A18" s="6" t="inlineStr">
        <is>
          <t>5</t>
        </is>
      </c>
      <c r="B18" s="6" t="inlineStr">
        <is>
          <t>缺乏对标分析</t>
        </is>
      </c>
      <c r="C18" s="6" t="inlineStr">
        <is>
          <t>不知道哪类项目赚钱，哪类亏钱</t>
        </is>
      </c>
      <c r="D18" s="6" t="inlineStr">
        <is>
          <t>多维度成本分析报表</t>
        </is>
      </c>
    </row>
    <row r="19">
      <c r="A19" s="7" t="inlineStr">
        <is>
          <t>6</t>
        </is>
      </c>
      <c r="B19" s="7" t="inlineStr">
        <is>
          <t>报价审批流程不规范</t>
        </is>
      </c>
      <c r="C19" s="7" t="inlineStr">
        <is>
          <t>低价报价风险大</t>
        </is>
      </c>
      <c r="D19" s="7" t="inlineStr">
        <is>
          <t>分级审批，风险管控</t>
        </is>
      </c>
    </row>
    <row r="22" ht="25" customHeight="1">
      <c r="A22" s="3" t="inlineStr">
        <is>
          <t>三、设计目标</t>
        </is>
      </c>
    </row>
    <row r="23">
      <c r="A23" s="5" t="inlineStr">
        <is>
          <t>目标</t>
        </is>
      </c>
      <c r="B23" s="5" t="inlineStr">
        <is>
          <t>说明</t>
        </is>
      </c>
    </row>
    <row r="24">
      <c r="A24" s="6" t="inlineStr">
        <is>
          <t>报价模板化</t>
        </is>
      </c>
      <c r="B24" s="6" t="inlineStr">
        <is>
          <t>建立标准报价模板，按工位/模块快速报价</t>
        </is>
      </c>
    </row>
    <row r="25">
      <c r="A25" s="7" t="inlineStr">
        <is>
          <t>成本估算精准化</t>
        </is>
      </c>
      <c r="B25" s="7" t="inlineStr">
        <is>
          <t>多维度成本估算，历史数据参考</t>
        </is>
      </c>
    </row>
    <row r="26">
      <c r="A26" s="6" t="inlineStr">
        <is>
          <t>报价审批规范化</t>
        </is>
      </c>
      <c r="B26" s="6" t="inlineStr">
        <is>
          <t>分级审批流程，低毛利预警</t>
        </is>
      </c>
    </row>
    <row r="27">
      <c r="A27" s="7" t="inlineStr">
        <is>
          <t>成本归集自动化</t>
        </is>
      </c>
      <c r="B27" s="7" t="inlineStr">
        <is>
          <t>与采购、生产、外协系统联动，成本自动归集</t>
        </is>
      </c>
    </row>
    <row r="28">
      <c r="A28" s="6" t="inlineStr">
        <is>
          <t>毛利分析可视化</t>
        </is>
      </c>
      <c r="B28" s="6" t="inlineStr">
        <is>
          <t>预算vs实际对比，多维度盈利分析</t>
        </is>
      </c>
    </row>
    <row r="29">
      <c r="A29" s="7" t="inlineStr">
        <is>
          <t>历史数据资产化</t>
        </is>
      </c>
      <c r="B29" s="7" t="inlineStr">
        <is>
          <t>项目成本数据沉淀，形成报价知识库</t>
        </is>
      </c>
    </row>
  </sheetData>
  <mergeCells count="5">
    <mergeCell ref="A1:D1"/>
    <mergeCell ref="A5:D5"/>
    <mergeCell ref="A6:D10"/>
    <mergeCell ref="A22:D22"/>
    <mergeCell ref="A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15" customWidth="1" min="5" max="5"/>
  </cols>
  <sheetData>
    <row r="1" ht="35" customHeight="1">
      <c r="A1" s="1" t="inlineStr">
        <is>
          <t>报价成本管理功能架构</t>
        </is>
      </c>
    </row>
    <row r="3">
      <c r="A3" s="5" t="inlineStr">
        <is>
          <t>序号</t>
        </is>
      </c>
      <c r="B3" s="5" t="inlineStr">
        <is>
          <t>一级模块</t>
        </is>
      </c>
      <c r="C3" s="5" t="inlineStr">
        <is>
          <t>二级功能</t>
        </is>
      </c>
      <c r="D3" s="5" t="inlineStr">
        <is>
          <t>功能说明</t>
        </is>
      </c>
      <c r="E3" s="5" t="inlineStr">
        <is>
          <t>优先级</t>
        </is>
      </c>
    </row>
    <row r="4">
      <c r="A4" s="8" t="inlineStr">
        <is>
          <t>【报价管理】</t>
        </is>
      </c>
    </row>
    <row r="5">
      <c r="A5" s="7" t="inlineStr">
        <is>
          <t>1</t>
        </is>
      </c>
      <c r="B5" s="7" t="inlineStr">
        <is>
          <t>报价管理</t>
        </is>
      </c>
      <c r="C5" s="7" t="inlineStr">
        <is>
          <t>报价单创建</t>
        </is>
      </c>
      <c r="D5" s="7" t="inlineStr">
        <is>
          <t>创建报价单，关联客户/项目/商机</t>
        </is>
      </c>
      <c r="E5" s="7" t="inlineStr">
        <is>
          <t>P0</t>
        </is>
      </c>
    </row>
    <row r="6">
      <c r="A6" s="6" t="inlineStr">
        <is>
          <t>2</t>
        </is>
      </c>
      <c r="B6" s="6" t="inlineStr"/>
      <c r="C6" s="6" t="inlineStr">
        <is>
          <t>成本估算</t>
        </is>
      </c>
      <c r="D6" s="6" t="inlineStr">
        <is>
          <t>材料/人工/外协/管理费用等成本估算</t>
        </is>
      </c>
      <c r="E6" s="6" t="inlineStr">
        <is>
          <t>P0</t>
        </is>
      </c>
    </row>
    <row r="7">
      <c r="A7" s="7" t="inlineStr">
        <is>
          <t>3</t>
        </is>
      </c>
      <c r="B7" s="7" t="inlineStr"/>
      <c r="C7" s="7" t="inlineStr">
        <is>
          <t>报价模板</t>
        </is>
      </c>
      <c r="D7" s="7" t="inlineStr">
        <is>
          <t>标准工位/模块报价模板管理</t>
        </is>
      </c>
      <c r="E7" s="7" t="inlineStr">
        <is>
          <t>P0</t>
        </is>
      </c>
    </row>
    <row r="8">
      <c r="A8" s="6" t="inlineStr">
        <is>
          <t>4</t>
        </is>
      </c>
      <c r="B8" s="6" t="inlineStr"/>
      <c r="C8" s="6" t="inlineStr">
        <is>
          <t>报价计算</t>
        </is>
      </c>
      <c r="D8" s="6" t="inlineStr">
        <is>
          <t>根据成本+毛利率自动计算报价</t>
        </is>
      </c>
      <c r="E8" s="6" t="inlineStr">
        <is>
          <t>P0</t>
        </is>
      </c>
    </row>
    <row r="9">
      <c r="A9" s="7" t="inlineStr">
        <is>
          <t>5</t>
        </is>
      </c>
      <c r="B9" s="7" t="inlineStr"/>
      <c r="C9" s="7" t="inlineStr">
        <is>
          <t>报价审批</t>
        </is>
      </c>
      <c r="D9" s="7" t="inlineStr">
        <is>
          <t>分级审批流程，低毛利预警</t>
        </is>
      </c>
      <c r="E9" s="7" t="inlineStr">
        <is>
          <t>P0</t>
        </is>
      </c>
    </row>
    <row r="10">
      <c r="A10" s="6" t="inlineStr">
        <is>
          <t>6</t>
        </is>
      </c>
      <c r="B10" s="6" t="inlineStr"/>
      <c r="C10" s="6" t="inlineStr">
        <is>
          <t>报价版本</t>
        </is>
      </c>
      <c r="D10" s="6" t="inlineStr">
        <is>
          <t>报价版本管理，历史版本追溯</t>
        </is>
      </c>
      <c r="E10" s="6" t="inlineStr">
        <is>
          <t>P1</t>
        </is>
      </c>
    </row>
    <row r="11">
      <c r="A11" s="7" t="inlineStr">
        <is>
          <t>7</t>
        </is>
      </c>
      <c r="B11" s="7" t="inlineStr"/>
      <c r="C11" s="7" t="inlineStr">
        <is>
          <t>报价对比</t>
        </is>
      </c>
      <c r="D11" s="7" t="inlineStr">
        <is>
          <t>多版本报价对比，竞争对手对比</t>
        </is>
      </c>
      <c r="E11" s="7" t="inlineStr">
        <is>
          <t>P2</t>
        </is>
      </c>
    </row>
    <row r="12">
      <c r="A12" s="6" t="inlineStr">
        <is>
          <t>8</t>
        </is>
      </c>
      <c r="B12" s="6" t="inlineStr"/>
      <c r="C12" s="6" t="inlineStr">
        <is>
          <t>报价输出</t>
        </is>
      </c>
      <c r="D12" s="6" t="inlineStr">
        <is>
          <t>生成报价单文档（Excel/PDF）</t>
        </is>
      </c>
      <c r="E12" s="6" t="inlineStr">
        <is>
          <t>P0</t>
        </is>
      </c>
    </row>
    <row r="13">
      <c r="A13" s="8" t="inlineStr">
        <is>
          <t>【成本估算】</t>
        </is>
      </c>
    </row>
    <row r="14">
      <c r="A14" s="6" t="inlineStr">
        <is>
          <t>9</t>
        </is>
      </c>
      <c r="B14" s="6" t="inlineStr">
        <is>
          <t>成本估算</t>
        </is>
      </c>
      <c r="C14" s="6" t="inlineStr">
        <is>
          <t>材料成本</t>
        </is>
      </c>
      <c r="D14" s="6" t="inlineStr">
        <is>
          <t>BOM材料成本估算，支持快速询价</t>
        </is>
      </c>
      <c r="E14" s="6" t="inlineStr">
        <is>
          <t>P0</t>
        </is>
      </c>
    </row>
    <row r="15">
      <c r="A15" s="7" t="inlineStr">
        <is>
          <t>10</t>
        </is>
      </c>
      <c r="B15" s="7" t="inlineStr"/>
      <c r="C15" s="7" t="inlineStr">
        <is>
          <t>人工成本</t>
        </is>
      </c>
      <c r="D15" s="7" t="inlineStr">
        <is>
          <t>设计/装配/调试工时×工时单价</t>
        </is>
      </c>
      <c r="E15" s="7" t="inlineStr">
        <is>
          <t>P0</t>
        </is>
      </c>
    </row>
    <row r="16">
      <c r="A16" s="6" t="inlineStr">
        <is>
          <t>11</t>
        </is>
      </c>
      <c r="B16" s="6" t="inlineStr"/>
      <c r="C16" s="6" t="inlineStr">
        <is>
          <t>外协成本</t>
        </is>
      </c>
      <c r="D16" s="6" t="inlineStr">
        <is>
          <t>外协加工/外购件成本</t>
        </is>
      </c>
      <c r="E16" s="6" t="inlineStr">
        <is>
          <t>P0</t>
        </is>
      </c>
    </row>
    <row r="17">
      <c r="A17" s="7" t="inlineStr">
        <is>
          <t>12</t>
        </is>
      </c>
      <c r="B17" s="7" t="inlineStr"/>
      <c r="C17" s="7" t="inlineStr">
        <is>
          <t>管理费用</t>
        </is>
      </c>
      <c r="D17" s="7" t="inlineStr">
        <is>
          <t>按比例分摊或固定金额</t>
        </is>
      </c>
      <c r="E17" s="7" t="inlineStr">
        <is>
          <t>P1</t>
        </is>
      </c>
    </row>
    <row r="18">
      <c r="A18" s="6" t="inlineStr">
        <is>
          <t>13</t>
        </is>
      </c>
      <c r="B18" s="6" t="inlineStr"/>
      <c r="C18" s="6" t="inlineStr">
        <is>
          <t>其他费用</t>
        </is>
      </c>
      <c r="D18" s="6" t="inlineStr">
        <is>
          <t>包装/运输/安装/差旅等</t>
        </is>
      </c>
      <c r="E18" s="6" t="inlineStr">
        <is>
          <t>P1</t>
        </is>
      </c>
    </row>
    <row r="19">
      <c r="A19" s="7" t="inlineStr">
        <is>
          <t>14</t>
        </is>
      </c>
      <c r="B19" s="7" t="inlineStr"/>
      <c r="C19" s="7" t="inlineStr">
        <is>
          <t>风险预备</t>
        </is>
      </c>
      <c r="D19" s="7" t="inlineStr">
        <is>
          <t>按比例预留风险费用</t>
        </is>
      </c>
      <c r="E19" s="7" t="inlineStr">
        <is>
          <t>P1</t>
        </is>
      </c>
    </row>
    <row r="20">
      <c r="A20" s="8" t="inlineStr">
        <is>
          <t>【项目成本】</t>
        </is>
      </c>
    </row>
    <row r="21">
      <c r="A21" s="7" t="inlineStr">
        <is>
          <t>15</t>
        </is>
      </c>
      <c r="B21" s="7" t="inlineStr">
        <is>
          <t>项目成本</t>
        </is>
      </c>
      <c r="C21" s="7" t="inlineStr">
        <is>
          <t>成本预算</t>
        </is>
      </c>
      <c r="D21" s="7" t="inlineStr">
        <is>
          <t>项目立项时的成本预算</t>
        </is>
      </c>
      <c r="E21" s="7" t="inlineStr">
        <is>
          <t>P0</t>
        </is>
      </c>
    </row>
    <row r="22">
      <c r="A22" s="6" t="inlineStr">
        <is>
          <t>16</t>
        </is>
      </c>
      <c r="B22" s="6" t="inlineStr"/>
      <c r="C22" s="6" t="inlineStr">
        <is>
          <t>实际成本</t>
        </is>
      </c>
      <c r="D22" s="6" t="inlineStr">
        <is>
          <t>项目执行过程中的实际成本归集</t>
        </is>
      </c>
      <c r="E22" s="6" t="inlineStr">
        <is>
          <t>P0</t>
        </is>
      </c>
    </row>
    <row r="23">
      <c r="A23" s="7" t="inlineStr">
        <is>
          <t>17</t>
        </is>
      </c>
      <c r="B23" s="7" t="inlineStr"/>
      <c r="C23" s="7" t="inlineStr">
        <is>
          <t>成本对比</t>
        </is>
      </c>
      <c r="D23" s="7" t="inlineStr">
        <is>
          <t>预算vs实际对比分析</t>
        </is>
      </c>
      <c r="E23" s="7" t="inlineStr">
        <is>
          <t>P0</t>
        </is>
      </c>
    </row>
    <row r="24">
      <c r="A24" s="6" t="inlineStr">
        <is>
          <t>18</t>
        </is>
      </c>
      <c r="B24" s="6" t="inlineStr"/>
      <c r="C24" s="6" t="inlineStr">
        <is>
          <t>成本预警</t>
        </is>
      </c>
      <c r="D24" s="6" t="inlineStr">
        <is>
          <t>成本超支预警</t>
        </is>
      </c>
      <c r="E24" s="6" t="inlineStr">
        <is>
          <t>P1</t>
        </is>
      </c>
    </row>
    <row r="25">
      <c r="A25" s="7" t="inlineStr">
        <is>
          <t>19</t>
        </is>
      </c>
      <c r="B25" s="7" t="inlineStr"/>
      <c r="C25" s="7" t="inlineStr">
        <is>
          <t>成本变更</t>
        </is>
      </c>
      <c r="D25" s="7" t="inlineStr">
        <is>
          <t>成本变更申请与审批</t>
        </is>
      </c>
      <c r="E25" s="7" t="inlineStr">
        <is>
          <t>P1</t>
        </is>
      </c>
    </row>
    <row r="26">
      <c r="A26" s="8" t="inlineStr">
        <is>
          <t>【毛利分析】</t>
        </is>
      </c>
    </row>
    <row r="27">
      <c r="A27" s="7" t="inlineStr">
        <is>
          <t>20</t>
        </is>
      </c>
      <c r="B27" s="7" t="inlineStr">
        <is>
          <t>毛利分析</t>
        </is>
      </c>
      <c r="C27" s="7" t="inlineStr">
        <is>
          <t>项目毛利</t>
        </is>
      </c>
      <c r="D27" s="7" t="inlineStr">
        <is>
          <t>单项目毛利计算与分析</t>
        </is>
      </c>
      <c r="E27" s="7" t="inlineStr">
        <is>
          <t>P0</t>
        </is>
      </c>
    </row>
    <row r="28">
      <c r="A28" s="6" t="inlineStr">
        <is>
          <t>21</t>
        </is>
      </c>
      <c r="B28" s="6" t="inlineStr"/>
      <c r="C28" s="6" t="inlineStr">
        <is>
          <t>客户毛利</t>
        </is>
      </c>
      <c r="D28" s="6" t="inlineStr">
        <is>
          <t>按客户汇总毛利分析</t>
        </is>
      </c>
      <c r="E28" s="6" t="inlineStr">
        <is>
          <t>P1</t>
        </is>
      </c>
    </row>
    <row r="29">
      <c r="A29" s="7" t="inlineStr">
        <is>
          <t>22</t>
        </is>
      </c>
      <c r="B29" s="7" t="inlineStr"/>
      <c r="C29" s="7" t="inlineStr">
        <is>
          <t>产品毛利</t>
        </is>
      </c>
      <c r="D29" s="7" t="inlineStr">
        <is>
          <t>按产品线/设备类型毛利分析</t>
        </is>
      </c>
      <c r="E29" s="7" t="inlineStr">
        <is>
          <t>P1</t>
        </is>
      </c>
    </row>
    <row r="30">
      <c r="A30" s="6" t="inlineStr">
        <is>
          <t>23</t>
        </is>
      </c>
      <c r="B30" s="6" t="inlineStr"/>
      <c r="C30" s="6" t="inlineStr">
        <is>
          <t>趋势分析</t>
        </is>
      </c>
      <c r="D30" s="6" t="inlineStr">
        <is>
          <t>毛利率趋势分析</t>
        </is>
      </c>
      <c r="E30" s="6" t="inlineStr">
        <is>
          <t>P2</t>
        </is>
      </c>
    </row>
    <row r="31">
      <c r="A31" s="8" t="inlineStr">
        <is>
          <t>【数据沉淀】</t>
        </is>
      </c>
    </row>
    <row r="32">
      <c r="A32" s="6" t="inlineStr">
        <is>
          <t>24</t>
        </is>
      </c>
      <c r="B32" s="6" t="inlineStr">
        <is>
          <t>数据沉淀</t>
        </is>
      </c>
      <c r="C32" s="6" t="inlineStr">
        <is>
          <t>成本库</t>
        </is>
      </c>
      <c r="D32" s="6" t="inlineStr">
        <is>
          <t>历史项目成本数据库</t>
        </is>
      </c>
      <c r="E32" s="6" t="inlineStr">
        <is>
          <t>P1</t>
        </is>
      </c>
    </row>
    <row r="33">
      <c r="A33" s="7" t="inlineStr">
        <is>
          <t>25</t>
        </is>
      </c>
      <c r="B33" s="7" t="inlineStr"/>
      <c r="C33" s="7" t="inlineStr">
        <is>
          <t>报价参考</t>
        </is>
      </c>
      <c r="D33" s="7" t="inlineStr">
        <is>
          <t>类似项目报价参考</t>
        </is>
      </c>
      <c r="E33" s="7" t="inlineStr">
        <is>
          <t>P1</t>
        </is>
      </c>
    </row>
    <row r="34">
      <c r="A34" s="6" t="inlineStr">
        <is>
          <t>26</t>
        </is>
      </c>
      <c r="B34" s="6" t="inlineStr"/>
      <c r="C34" s="6" t="inlineStr">
        <is>
          <t>单价库</t>
        </is>
      </c>
      <c r="D34" s="6" t="inlineStr">
        <is>
          <t>物料/人工/外协单价库</t>
        </is>
      </c>
      <c r="E34" s="6" t="inlineStr">
        <is>
          <t>P1</t>
        </is>
      </c>
    </row>
  </sheetData>
  <mergeCells count="6">
    <mergeCell ref="A4:E4"/>
    <mergeCell ref="A26:E26"/>
    <mergeCell ref="A20:E20"/>
    <mergeCell ref="A1:E1"/>
    <mergeCell ref="A13:E13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40" customWidth="1" min="4" max="4"/>
    <col width="18" customWidth="1" min="5" max="5"/>
  </cols>
  <sheetData>
    <row r="1" ht="35" customHeight="1">
      <c r="A1" s="1" t="inlineStr">
        <is>
          <t>非标设备成本构成模型</t>
        </is>
      </c>
    </row>
    <row r="3" ht="25" customHeight="1">
      <c r="A3" s="3" t="inlineStr">
        <is>
          <t>一、成本构成层级</t>
        </is>
      </c>
    </row>
    <row r="4">
      <c r="A4" s="5" t="inlineStr">
        <is>
          <t>层级</t>
        </is>
      </c>
      <c r="B4" s="5" t="inlineStr">
        <is>
          <t>成本类别</t>
        </is>
      </c>
      <c r="C4" s="5" t="inlineStr">
        <is>
          <t>成本项</t>
        </is>
      </c>
      <c r="D4" s="5" t="inlineStr">
        <is>
          <t>说明</t>
        </is>
      </c>
      <c r="E4" s="5" t="inlineStr">
        <is>
          <t>占比参考</t>
        </is>
      </c>
    </row>
    <row r="5">
      <c r="A5" s="9" t="inlineStr">
        <is>
          <t>一级</t>
        </is>
      </c>
      <c r="B5" s="9" t="inlineStr">
        <is>
          <t>直接成本</t>
        </is>
      </c>
      <c r="C5" s="7" t="inlineStr"/>
      <c r="D5" s="7" t="inlineStr">
        <is>
          <t>与产品直接相关的成本</t>
        </is>
      </c>
      <c r="E5" s="7" t="inlineStr">
        <is>
          <t>70-80%</t>
        </is>
      </c>
    </row>
    <row r="6">
      <c r="A6" s="6" t="inlineStr">
        <is>
          <t>二级</t>
        </is>
      </c>
      <c r="B6" s="6" t="inlineStr">
        <is>
          <t>├ 材料成本</t>
        </is>
      </c>
      <c r="C6" s="6" t="inlineStr">
        <is>
          <t>外购件</t>
        </is>
      </c>
      <c r="D6" s="6" t="inlineStr">
        <is>
          <t>标准件、电气元件、气动元件等</t>
        </is>
      </c>
      <c r="E6" s="6" t="inlineStr">
        <is>
          <t>35-45%</t>
        </is>
      </c>
    </row>
    <row r="7">
      <c r="A7" s="7" t="inlineStr">
        <is>
          <t>二级</t>
        </is>
      </c>
      <c r="B7" s="7" t="inlineStr"/>
      <c r="C7" s="7" t="inlineStr">
        <is>
          <t>加工件</t>
        </is>
      </c>
      <c r="D7" s="7" t="inlineStr">
        <is>
          <t>机加工零件（含外协）</t>
        </is>
      </c>
      <c r="E7" s="7" t="inlineStr">
        <is>
          <t>15-20%</t>
        </is>
      </c>
    </row>
    <row r="8">
      <c r="A8" s="6" t="inlineStr">
        <is>
          <t>二级</t>
        </is>
      </c>
      <c r="B8" s="6" t="inlineStr"/>
      <c r="C8" s="6" t="inlineStr">
        <is>
          <t>钣金件</t>
        </is>
      </c>
      <c r="D8" s="6" t="inlineStr">
        <is>
          <t>钣金加工零件</t>
        </is>
      </c>
      <c r="E8" s="6" t="inlineStr">
        <is>
          <t>5-10%</t>
        </is>
      </c>
    </row>
    <row r="9">
      <c r="A9" s="7" t="inlineStr">
        <is>
          <t>二级</t>
        </is>
      </c>
      <c r="B9" s="7" t="inlineStr"/>
      <c r="C9" s="7" t="inlineStr">
        <is>
          <t>标准件</t>
        </is>
      </c>
      <c r="D9" s="7" t="inlineStr">
        <is>
          <t>螺丝、螺母、销钉等</t>
        </is>
      </c>
      <c r="E9" s="7" t="inlineStr">
        <is>
          <t>2-3%</t>
        </is>
      </c>
    </row>
    <row r="10">
      <c r="A10" s="6" t="inlineStr">
        <is>
          <t>二级</t>
        </is>
      </c>
      <c r="B10" s="6" t="inlineStr">
        <is>
          <t>├ 人工成本</t>
        </is>
      </c>
      <c r="C10" s="6" t="inlineStr">
        <is>
          <t>设计工时</t>
        </is>
      </c>
      <c r="D10" s="6" t="inlineStr">
        <is>
          <t>机械/电气/软件设计</t>
        </is>
      </c>
      <c r="E10" s="6" t="inlineStr">
        <is>
          <t>8-12%</t>
        </is>
      </c>
    </row>
    <row r="11">
      <c r="A11" s="7" t="inlineStr">
        <is>
          <t>二级</t>
        </is>
      </c>
      <c r="B11" s="7" t="inlineStr"/>
      <c r="C11" s="7" t="inlineStr">
        <is>
          <t>装配工时</t>
        </is>
      </c>
      <c r="D11" s="7" t="inlineStr">
        <is>
          <t>机械装配、电气接线</t>
        </is>
      </c>
      <c r="E11" s="7" t="inlineStr">
        <is>
          <t>5-8%</t>
        </is>
      </c>
    </row>
    <row r="12">
      <c r="A12" s="6" t="inlineStr">
        <is>
          <t>二级</t>
        </is>
      </c>
      <c r="B12" s="6" t="inlineStr"/>
      <c r="C12" s="6" t="inlineStr">
        <is>
          <t>调试工时</t>
        </is>
      </c>
      <c r="D12" s="6" t="inlineStr">
        <is>
          <t>整机调试、程序调试</t>
        </is>
      </c>
      <c r="E12" s="6" t="inlineStr">
        <is>
          <t>5-10%</t>
        </is>
      </c>
    </row>
    <row r="13">
      <c r="A13" s="7" t="inlineStr">
        <is>
          <t>二级</t>
        </is>
      </c>
      <c r="B13" s="7" t="inlineStr">
        <is>
          <t>├ 外协成本</t>
        </is>
      </c>
      <c r="C13" s="7" t="inlineStr">
        <is>
          <t>外协加工</t>
        </is>
      </c>
      <c r="D13" s="7" t="inlineStr">
        <is>
          <t>外协机加工、表面处理等</t>
        </is>
      </c>
      <c r="E13" s="7" t="inlineStr">
        <is>
          <t>5-10%</t>
        </is>
      </c>
    </row>
    <row r="14">
      <c r="A14" s="6" t="inlineStr">
        <is>
          <t>二级</t>
        </is>
      </c>
      <c r="B14" s="6" t="inlineStr"/>
      <c r="C14" s="6" t="inlineStr">
        <is>
          <t>外协装配</t>
        </is>
      </c>
      <c r="D14" s="6" t="inlineStr">
        <is>
          <t>部分模块外协装配</t>
        </is>
      </c>
      <c r="E14" s="6" t="inlineStr">
        <is>
          <t>0-5%</t>
        </is>
      </c>
    </row>
    <row r="15">
      <c r="A15" s="9" t="inlineStr">
        <is>
          <t>一级</t>
        </is>
      </c>
      <c r="B15" s="9" t="inlineStr">
        <is>
          <t>间接成本</t>
        </is>
      </c>
      <c r="C15" s="7" t="inlineStr"/>
      <c r="D15" s="7" t="inlineStr">
        <is>
          <t>间接相关的成本</t>
        </is>
      </c>
      <c r="E15" s="7" t="inlineStr">
        <is>
          <t>15-25%</t>
        </is>
      </c>
    </row>
    <row r="16">
      <c r="A16" s="6" t="inlineStr">
        <is>
          <t>二级</t>
        </is>
      </c>
      <c r="B16" s="6" t="inlineStr">
        <is>
          <t>├ 现场费用</t>
        </is>
      </c>
      <c r="C16" s="6" t="inlineStr">
        <is>
          <t>安装调试</t>
        </is>
      </c>
      <c r="D16" s="6" t="inlineStr">
        <is>
          <t>现场安装调试人工+差旅</t>
        </is>
      </c>
      <c r="E16" s="6" t="inlineStr">
        <is>
          <t>3-8%</t>
        </is>
      </c>
    </row>
    <row r="17">
      <c r="A17" s="7" t="inlineStr">
        <is>
          <t>二级</t>
        </is>
      </c>
      <c r="B17" s="7" t="inlineStr"/>
      <c r="C17" s="7" t="inlineStr">
        <is>
          <t>培训费用</t>
        </is>
      </c>
      <c r="D17" s="7" t="inlineStr">
        <is>
          <t>客户培训费用</t>
        </is>
      </c>
      <c r="E17" s="7" t="inlineStr">
        <is>
          <t>1-2%</t>
        </is>
      </c>
    </row>
    <row r="18">
      <c r="A18" s="6" t="inlineStr">
        <is>
          <t>二级</t>
        </is>
      </c>
      <c r="B18" s="6" t="inlineStr">
        <is>
          <t>├ 运输包装</t>
        </is>
      </c>
      <c r="C18" s="6" t="inlineStr">
        <is>
          <t>运输费</t>
        </is>
      </c>
      <c r="D18" s="6" t="inlineStr">
        <is>
          <t>设备运输费用</t>
        </is>
      </c>
      <c r="E18" s="6" t="inlineStr">
        <is>
          <t>2-4%</t>
        </is>
      </c>
    </row>
    <row r="19">
      <c r="A19" s="7" t="inlineStr">
        <is>
          <t>二级</t>
        </is>
      </c>
      <c r="B19" s="7" t="inlineStr"/>
      <c r="C19" s="7" t="inlineStr">
        <is>
          <t>包装费</t>
        </is>
      </c>
      <c r="D19" s="7" t="inlineStr">
        <is>
          <t>包装材料及人工</t>
        </is>
      </c>
      <c r="E19" s="7" t="inlineStr">
        <is>
          <t>1-2%</t>
        </is>
      </c>
    </row>
    <row r="20">
      <c r="A20" s="6" t="inlineStr">
        <is>
          <t>二级</t>
        </is>
      </c>
      <c r="B20" s="6" t="inlineStr">
        <is>
          <t>├ 管理费用</t>
        </is>
      </c>
      <c r="C20" s="6" t="inlineStr">
        <is>
          <t>项目管理</t>
        </is>
      </c>
      <c r="D20" s="6" t="inlineStr">
        <is>
          <t>项目管理分摊</t>
        </is>
      </c>
      <c r="E20" s="6" t="inlineStr">
        <is>
          <t>3-5%</t>
        </is>
      </c>
    </row>
    <row r="21">
      <c r="A21" s="7" t="inlineStr">
        <is>
          <t>二级</t>
        </is>
      </c>
      <c r="B21" s="7" t="inlineStr"/>
      <c r="C21" s="7" t="inlineStr">
        <is>
          <t>质量成本</t>
        </is>
      </c>
      <c r="D21" s="7" t="inlineStr">
        <is>
          <t>检验、测试费用</t>
        </is>
      </c>
      <c r="E21" s="7" t="inlineStr">
        <is>
          <t>1-2%</t>
        </is>
      </c>
    </row>
    <row r="22">
      <c r="A22" s="9" t="inlineStr">
        <is>
          <t>一级</t>
        </is>
      </c>
      <c r="B22" s="9" t="inlineStr">
        <is>
          <t>风险预备</t>
        </is>
      </c>
      <c r="C22" s="6" t="inlineStr"/>
      <c r="D22" s="6" t="inlineStr">
        <is>
          <t>风险预留</t>
        </is>
      </c>
      <c r="E22" s="6" t="inlineStr">
        <is>
          <t>3-5%</t>
        </is>
      </c>
    </row>
    <row r="23">
      <c r="A23" s="7" t="inlineStr">
        <is>
          <t>二级</t>
        </is>
      </c>
      <c r="B23" s="7" t="inlineStr">
        <is>
          <t>├ 设计风险</t>
        </is>
      </c>
      <c r="C23" s="7" t="inlineStr">
        <is>
          <t>返工预备</t>
        </is>
      </c>
      <c r="D23" s="7" t="inlineStr">
        <is>
          <t>设计变更、返工预留</t>
        </is>
      </c>
      <c r="E23" s="7" t="inlineStr">
        <is>
          <t>1-2%</t>
        </is>
      </c>
    </row>
    <row r="24">
      <c r="A24" s="6" t="inlineStr">
        <is>
          <t>二级</t>
        </is>
      </c>
      <c r="B24" s="6" t="inlineStr">
        <is>
          <t>├ 采购风险</t>
        </is>
      </c>
      <c r="C24" s="6" t="inlineStr">
        <is>
          <t>涨价预备</t>
        </is>
      </c>
      <c r="D24" s="6" t="inlineStr">
        <is>
          <t>材料涨价预留</t>
        </is>
      </c>
      <c r="E24" s="6" t="inlineStr">
        <is>
          <t>1-2%</t>
        </is>
      </c>
    </row>
    <row r="25">
      <c r="A25" s="7" t="inlineStr">
        <is>
          <t>二级</t>
        </is>
      </c>
      <c r="B25" s="7" t="inlineStr">
        <is>
          <t>├ 其他风险</t>
        </is>
      </c>
      <c r="C25" s="7" t="inlineStr">
        <is>
          <t>不可预见</t>
        </is>
      </c>
      <c r="D25" s="7" t="inlineStr">
        <is>
          <t>其他不可预见费用</t>
        </is>
      </c>
      <c r="E25" s="7" t="inlineStr">
        <is>
          <t>1%</t>
        </is>
      </c>
    </row>
    <row r="29" ht="25" customHeight="1">
      <c r="A29" s="3" t="inlineStr">
        <is>
          <t>二、成本计算公式</t>
        </is>
      </c>
    </row>
    <row r="30">
      <c r="A30" s="4" t="inlineStr">
        <is>
          <t xml:space="preserve">
成本计算核心公式：
总成本 = 直接成本 + 间接成本 + 风险预备
直接成本 = 材料成本 + 人工成本 + 外协成本
  ├ 材料成本 = Σ(物料单价 × 数量 × 损耗系数)
  ├ 人工成本 = Σ(工时 × 工时单价)
  └ 外协成本 = Σ(外协报价)
间接成本 = 现场费用 + 运输包装 + 管理费用
  ├ 现场费用 = 人天数 × 日补贴 + 差旅费
  ├ 运输包装 = 按设备重量/体积估算
  └ 管理费用 = 直接成本 × 管理费率(通常5-8%)
风险预备 = (直接成本 + 间接成本) × 风险系数(通常3-5%)
报价 = 总成本 / (1 - 目标毛利率)
</t>
        </is>
      </c>
    </row>
    <row r="31"/>
    <row r="32"/>
    <row r="33"/>
    <row r="34"/>
    <row r="35"/>
  </sheetData>
  <mergeCells count="4">
    <mergeCell ref="A29:E29"/>
    <mergeCell ref="A30:E35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20" customWidth="1" min="5" max="5"/>
  </cols>
  <sheetData>
    <row r="1" ht="35" customHeight="1">
      <c r="A1" s="1" t="inlineStr">
        <is>
          <t>报价流程设计</t>
        </is>
      </c>
    </row>
    <row r="3" ht="25" customHeight="1">
      <c r="A3" s="3" t="inlineStr">
        <is>
          <t>一、标准报价流程</t>
        </is>
      </c>
    </row>
    <row r="4">
      <c r="A4" s="5" t="inlineStr">
        <is>
          <t>序号</t>
        </is>
      </c>
      <c r="B4" s="5" t="inlineStr">
        <is>
          <t>步骤</t>
        </is>
      </c>
      <c r="C4" s="5" t="inlineStr">
        <is>
          <t>详细说明</t>
        </is>
      </c>
      <c r="D4" s="5" t="inlineStr">
        <is>
          <t>责任人</t>
        </is>
      </c>
      <c r="E4" s="5" t="inlineStr">
        <is>
          <t>系统支持</t>
        </is>
      </c>
    </row>
    <row r="5">
      <c r="A5" s="7" t="inlineStr">
        <is>
          <t>1</t>
        </is>
      </c>
      <c r="B5" s="7" t="inlineStr">
        <is>
          <t>商机/需求确认</t>
        </is>
      </c>
      <c r="C5" s="7" t="inlineStr">
        <is>
          <t>确认客户需求，初步评估项目规模</t>
        </is>
      </c>
      <c r="D5" s="7" t="inlineStr">
        <is>
          <t>销售</t>
        </is>
      </c>
      <c r="E5" s="7" t="inlineStr">
        <is>
          <t>商机管理</t>
        </is>
      </c>
    </row>
    <row r="6">
      <c r="A6" s="6" t="inlineStr">
        <is>
          <t>2</t>
        </is>
      </c>
      <c r="B6" s="6" t="inlineStr">
        <is>
          <t>技术方案</t>
        </is>
      </c>
      <c r="C6" s="6" t="inlineStr">
        <is>
          <t>出具技术方案，确定设备配置</t>
        </is>
      </c>
      <c r="D6" s="6" t="inlineStr">
        <is>
          <t>技术/售前</t>
        </is>
      </c>
      <c r="E6" s="6" t="inlineStr">
        <is>
          <t>方案管理</t>
        </is>
      </c>
    </row>
    <row r="7">
      <c r="A7" s="7" t="inlineStr">
        <is>
          <t>3</t>
        </is>
      </c>
      <c r="B7" s="7" t="inlineStr">
        <is>
          <t>BOM估算</t>
        </is>
      </c>
      <c r="C7" s="7" t="inlineStr">
        <is>
          <t>根据方案估算BOM清单</t>
        </is>
      </c>
      <c r="D7" s="7" t="inlineStr">
        <is>
          <t>设计工程师</t>
        </is>
      </c>
      <c r="E7" s="7" t="inlineStr">
        <is>
          <t>BOM模板</t>
        </is>
      </c>
    </row>
    <row r="8">
      <c r="A8" s="6" t="inlineStr">
        <is>
          <t>4</t>
        </is>
      </c>
      <c r="B8" s="6" t="inlineStr">
        <is>
          <t>材料成本估算</t>
        </is>
      </c>
      <c r="C8" s="6" t="inlineStr">
        <is>
          <t>询价/查历史价格，估算材料成本</t>
        </is>
      </c>
      <c r="D8" s="6" t="inlineStr">
        <is>
          <t>采购/售前</t>
        </is>
      </c>
      <c r="E8" s="6" t="inlineStr">
        <is>
          <t>价格库</t>
        </is>
      </c>
    </row>
    <row r="9">
      <c r="A9" s="7" t="inlineStr">
        <is>
          <t>5</t>
        </is>
      </c>
      <c r="B9" s="7" t="inlineStr">
        <is>
          <t>人工成本估算</t>
        </is>
      </c>
      <c r="C9" s="7" t="inlineStr">
        <is>
          <t>估算设计/装配/调试工时</t>
        </is>
      </c>
      <c r="D9" s="7" t="inlineStr">
        <is>
          <t>项目经理</t>
        </is>
      </c>
      <c r="E9" s="7" t="inlineStr">
        <is>
          <t>工时模板</t>
        </is>
      </c>
    </row>
    <row r="10">
      <c r="A10" s="6" t="inlineStr">
        <is>
          <t>6</t>
        </is>
      </c>
      <c r="B10" s="6" t="inlineStr">
        <is>
          <t>外协成本估算</t>
        </is>
      </c>
      <c r="C10" s="6" t="inlineStr">
        <is>
          <t>估算外协加工费用</t>
        </is>
      </c>
      <c r="D10" s="6" t="inlineStr">
        <is>
          <t>采购</t>
        </is>
      </c>
      <c r="E10" s="6" t="inlineStr">
        <is>
          <t>外协报价</t>
        </is>
      </c>
    </row>
    <row r="11">
      <c r="A11" s="7" t="inlineStr">
        <is>
          <t>7</t>
        </is>
      </c>
      <c r="B11" s="7" t="inlineStr">
        <is>
          <t>其他费用估算</t>
        </is>
      </c>
      <c r="C11" s="7" t="inlineStr">
        <is>
          <t>运输/包装/安装/差旅等</t>
        </is>
      </c>
      <c r="D11" s="7" t="inlineStr">
        <is>
          <t>项目经理</t>
        </is>
      </c>
      <c r="E11" s="7" t="inlineStr">
        <is>
          <t>费用模板</t>
        </is>
      </c>
    </row>
    <row r="12">
      <c r="A12" s="6" t="inlineStr">
        <is>
          <t>8</t>
        </is>
      </c>
      <c r="B12" s="6" t="inlineStr">
        <is>
          <t>汇总报价</t>
        </is>
      </c>
      <c r="C12" s="6" t="inlineStr">
        <is>
          <t>汇总各项成本，计算报价</t>
        </is>
      </c>
      <c r="D12" s="6" t="inlineStr">
        <is>
          <t>售前/商务</t>
        </is>
      </c>
      <c r="E12" s="6" t="inlineStr">
        <is>
          <t>报价计算</t>
        </is>
      </c>
    </row>
    <row r="13">
      <c r="A13" s="7" t="inlineStr">
        <is>
          <t>9</t>
        </is>
      </c>
      <c r="B13" s="7" t="inlineStr">
        <is>
          <t>毛利审核</t>
        </is>
      </c>
      <c r="C13" s="7" t="inlineStr">
        <is>
          <t>检查毛利率是否满足要求</t>
        </is>
      </c>
      <c r="D13" s="7" t="inlineStr">
        <is>
          <t>系统自动</t>
        </is>
      </c>
      <c r="E13" s="7" t="inlineStr">
        <is>
          <t>毛利检查</t>
        </is>
      </c>
    </row>
    <row r="14">
      <c r="A14" s="6" t="inlineStr">
        <is>
          <t>10</t>
        </is>
      </c>
      <c r="B14" s="6" t="inlineStr">
        <is>
          <t>报价审批</t>
        </is>
      </c>
      <c r="C14" s="6" t="inlineStr">
        <is>
          <t>按金额/毛利分级审批</t>
        </is>
      </c>
      <c r="D14" s="6" t="inlineStr">
        <is>
          <t>各级审批人</t>
        </is>
      </c>
      <c r="E14" s="6" t="inlineStr">
        <is>
          <t>审批流程</t>
        </is>
      </c>
    </row>
    <row r="15">
      <c r="A15" s="7" t="inlineStr">
        <is>
          <t>11</t>
        </is>
      </c>
      <c r="B15" s="7" t="inlineStr">
        <is>
          <t>输出报价单</t>
        </is>
      </c>
      <c r="C15" s="7" t="inlineStr">
        <is>
          <t>生成正式报价单文档</t>
        </is>
      </c>
      <c r="D15" s="7" t="inlineStr">
        <is>
          <t>商务</t>
        </is>
      </c>
      <c r="E15" s="7" t="inlineStr">
        <is>
          <t>报价模板</t>
        </is>
      </c>
    </row>
    <row r="16">
      <c r="A16" s="6" t="inlineStr">
        <is>
          <t>12</t>
        </is>
      </c>
      <c r="B16" s="6" t="inlineStr">
        <is>
          <t>报价跟踪</t>
        </is>
      </c>
      <c r="C16" s="6" t="inlineStr">
        <is>
          <t>跟踪报价结果（中标/丢标/在跟）</t>
        </is>
      </c>
      <c r="D16" s="6" t="inlineStr">
        <is>
          <t>销售</t>
        </is>
      </c>
      <c r="E16" s="6" t="inlineStr">
        <is>
          <t>商机跟踪</t>
        </is>
      </c>
    </row>
    <row r="19" ht="25" customHeight="1">
      <c r="A19" s="3" t="inlineStr">
        <is>
          <t>二、报价审批规则</t>
        </is>
      </c>
    </row>
    <row r="20">
      <c r="A20" s="5" t="inlineStr">
        <is>
          <t>条件</t>
        </is>
      </c>
      <c r="B20" s="5" t="inlineStr">
        <is>
          <t>审批层级</t>
        </is>
      </c>
      <c r="C20" s="5" t="inlineStr">
        <is>
          <t>审批人</t>
        </is>
      </c>
      <c r="D20" s="5" t="inlineStr">
        <is>
          <t>说明</t>
        </is>
      </c>
    </row>
    <row r="21">
      <c r="A21" s="7" t="inlineStr">
        <is>
          <t>毛利率≥25%，金额≤100万</t>
        </is>
      </c>
      <c r="B21" s="7" t="inlineStr">
        <is>
          <t>一级审批</t>
        </is>
      </c>
      <c r="C21" s="7" t="inlineStr">
        <is>
          <t>销售经理</t>
        </is>
      </c>
      <c r="D21" s="7" t="inlineStr">
        <is>
          <t>正常报价</t>
        </is>
      </c>
    </row>
    <row r="22">
      <c r="A22" s="6" t="inlineStr">
        <is>
          <t>毛利率≥25%，金额100-500万</t>
        </is>
      </c>
      <c r="B22" s="6" t="inlineStr">
        <is>
          <t>二级审批</t>
        </is>
      </c>
      <c r="C22" s="6" t="inlineStr">
        <is>
          <t>销售总监</t>
        </is>
      </c>
      <c r="D22" s="6" t="inlineStr">
        <is>
          <t>大额报价</t>
        </is>
      </c>
    </row>
    <row r="23">
      <c r="A23" s="7" t="inlineStr">
        <is>
          <t>毛利率≥25%，金额&gt;500万</t>
        </is>
      </c>
      <c r="B23" s="7" t="inlineStr">
        <is>
          <t>三级审批</t>
        </is>
      </c>
      <c r="C23" s="7" t="inlineStr">
        <is>
          <t>总经理</t>
        </is>
      </c>
      <c r="D23" s="7" t="inlineStr">
        <is>
          <t>重大项目</t>
        </is>
      </c>
    </row>
    <row r="24">
      <c r="A24" s="10" t="inlineStr">
        <is>
          <t>毛利率20-25%</t>
        </is>
      </c>
      <c r="B24" s="6" t="inlineStr">
        <is>
          <t>二级审批</t>
        </is>
      </c>
      <c r="C24" s="6" t="inlineStr">
        <is>
          <t>销售总监+财务</t>
        </is>
      </c>
      <c r="D24" s="6" t="inlineStr">
        <is>
          <t>低毛利预警</t>
        </is>
      </c>
    </row>
    <row r="25">
      <c r="A25" s="10" t="inlineStr">
        <is>
          <t>毛利率15-20%</t>
        </is>
      </c>
      <c r="B25" s="7" t="inlineStr">
        <is>
          <t>三级审批</t>
        </is>
      </c>
      <c r="C25" s="7" t="inlineStr">
        <is>
          <t>总经理+财务总监</t>
        </is>
      </c>
      <c r="D25" s="7" t="inlineStr">
        <is>
          <t>低毛利审批</t>
        </is>
      </c>
    </row>
    <row r="26">
      <c r="A26" s="11" t="inlineStr">
        <is>
          <t>毛利率&lt;15%</t>
        </is>
      </c>
      <c r="B26" s="6" t="inlineStr">
        <is>
          <t>特批</t>
        </is>
      </c>
      <c r="C26" s="6" t="inlineStr">
        <is>
          <t>董事长</t>
        </is>
      </c>
      <c r="D26" s="6" t="inlineStr">
        <is>
          <t>特殊项目</t>
        </is>
      </c>
    </row>
    <row r="29" ht="25" customHeight="1">
      <c r="A29" s="3" t="inlineStr">
        <is>
          <t>三、报价版本管理</t>
        </is>
      </c>
    </row>
    <row r="30">
      <c r="A30" s="5" t="inlineStr">
        <is>
          <t>场景</t>
        </is>
      </c>
      <c r="B30" s="5" t="inlineStr">
        <is>
          <t>版本处理</t>
        </is>
      </c>
      <c r="C30" s="5" t="inlineStr">
        <is>
          <t>说明</t>
        </is>
      </c>
    </row>
    <row r="31">
      <c r="A31" s="7" t="inlineStr">
        <is>
          <t>首次报价</t>
        </is>
      </c>
      <c r="B31" s="7" t="inlineStr">
        <is>
          <t>创建V1.0版本</t>
        </is>
      </c>
      <c r="C31" s="7" t="inlineStr">
        <is>
          <t>初始报价版本</t>
        </is>
      </c>
    </row>
    <row r="32">
      <c r="A32" s="6" t="inlineStr">
        <is>
          <t>技术方案变更</t>
        </is>
      </c>
      <c r="B32" s="6" t="inlineStr">
        <is>
          <t>创建新版本V1.1</t>
        </is>
      </c>
      <c r="C32" s="6" t="inlineStr">
        <is>
          <t>方案变更导致的报价调整</t>
        </is>
      </c>
    </row>
    <row r="33">
      <c r="A33" s="7" t="inlineStr">
        <is>
          <t>客户还价</t>
        </is>
      </c>
      <c r="B33" s="7" t="inlineStr">
        <is>
          <t>创建新版本V1.2</t>
        </is>
      </c>
      <c r="C33" s="7" t="inlineStr">
        <is>
          <t>根据客户反馈调整报价</t>
        </is>
      </c>
    </row>
    <row r="34">
      <c r="A34" s="6" t="inlineStr">
        <is>
          <t>成本变化</t>
        </is>
      </c>
      <c r="B34" s="6" t="inlineStr">
        <is>
          <t>创建新版本V1.3</t>
        </is>
      </c>
      <c r="C34" s="6" t="inlineStr">
        <is>
          <t>材料涨价等原因调整</t>
        </is>
      </c>
    </row>
    <row r="35">
      <c r="A35" s="7" t="inlineStr">
        <is>
          <t>重大变更</t>
        </is>
      </c>
      <c r="B35" s="7" t="inlineStr">
        <is>
          <t>创建新主版本V2.0</t>
        </is>
      </c>
      <c r="C35" s="7" t="inlineStr">
        <is>
          <t>需求重大变更</t>
        </is>
      </c>
    </row>
    <row r="36">
      <c r="A36" s="6" t="inlineStr">
        <is>
          <t>中标确认</t>
        </is>
      </c>
      <c r="B36" s="6" t="inlineStr">
        <is>
          <t>锁定最终版本</t>
        </is>
      </c>
      <c r="C36" s="6" t="inlineStr">
        <is>
          <t>中标后版本不可修改</t>
        </is>
      </c>
    </row>
  </sheetData>
  <mergeCells count="4">
    <mergeCell ref="A19:E19"/>
    <mergeCell ref="A29:E29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</cols>
  <sheetData>
    <row r="1" ht="35" customHeight="1">
      <c r="A1" s="1" t="inlineStr">
        <is>
          <t>报价模板设计</t>
        </is>
      </c>
    </row>
    <row r="3" ht="25" customHeight="1">
      <c r="A3" s="3" t="inlineStr">
        <is>
          <t>一、报价单结构</t>
        </is>
      </c>
    </row>
    <row r="4">
      <c r="A4" s="5" t="inlineStr">
        <is>
          <t>序号</t>
        </is>
      </c>
      <c r="B4" s="5" t="inlineStr">
        <is>
          <t>项目</t>
        </is>
      </c>
      <c r="C4" s="5" t="inlineStr">
        <is>
          <t>数量</t>
        </is>
      </c>
      <c r="D4" s="5" t="inlineStr">
        <is>
          <t>单位</t>
        </is>
      </c>
      <c r="E4" s="5" t="inlineStr">
        <is>
          <t>单价(元)</t>
        </is>
      </c>
      <c r="F4" s="5" t="inlineStr">
        <is>
          <t>金额(元)</t>
        </is>
      </c>
      <c r="G4" s="5" t="inlineStr">
        <is>
          <t>备注</t>
        </is>
      </c>
    </row>
    <row r="5">
      <c r="A5" s="8" t="inlineStr">
        <is>
          <t>【一、材料成本】</t>
        </is>
      </c>
    </row>
    <row r="6">
      <c r="A6" s="6" t="inlineStr">
        <is>
          <t>1</t>
        </is>
      </c>
      <c r="B6" s="6" t="inlineStr">
        <is>
          <t>外购件-电气元件</t>
        </is>
      </c>
      <c r="C6" s="6" t="inlineStr"/>
      <c r="D6" s="6" t="inlineStr">
        <is>
          <t>批</t>
        </is>
      </c>
      <c r="E6" s="6" t="inlineStr"/>
      <c r="F6" s="6" t="inlineStr"/>
      <c r="G6" s="6" t="inlineStr">
        <is>
          <t>PLC、伺服、传感器等</t>
        </is>
      </c>
    </row>
    <row r="7">
      <c r="A7" s="7" t="inlineStr">
        <is>
          <t>2</t>
        </is>
      </c>
      <c r="B7" s="7" t="inlineStr">
        <is>
          <t>外购件-气动元件</t>
        </is>
      </c>
      <c r="C7" s="7" t="inlineStr"/>
      <c r="D7" s="7" t="inlineStr">
        <is>
          <t>批</t>
        </is>
      </c>
      <c r="E7" s="7" t="inlineStr"/>
      <c r="F7" s="7" t="inlineStr"/>
      <c r="G7" s="7" t="inlineStr">
        <is>
          <t>气缸、电磁阀等</t>
        </is>
      </c>
    </row>
    <row r="8">
      <c r="A8" s="6" t="inlineStr">
        <is>
          <t>3</t>
        </is>
      </c>
      <c r="B8" s="6" t="inlineStr">
        <is>
          <t>外购件-机械标准件</t>
        </is>
      </c>
      <c r="C8" s="6" t="inlineStr"/>
      <c r="D8" s="6" t="inlineStr">
        <is>
          <t>批</t>
        </is>
      </c>
      <c r="E8" s="6" t="inlineStr"/>
      <c r="F8" s="6" t="inlineStr"/>
      <c r="G8" s="6" t="inlineStr">
        <is>
          <t>导轨、丝杆、轴承等</t>
        </is>
      </c>
    </row>
    <row r="9">
      <c r="A9" s="7" t="inlineStr">
        <is>
          <t>4</t>
        </is>
      </c>
      <c r="B9" s="7" t="inlineStr">
        <is>
          <t>加工件-机加工</t>
        </is>
      </c>
      <c r="C9" s="7" t="inlineStr"/>
      <c r="D9" s="7" t="inlineStr">
        <is>
          <t>批</t>
        </is>
      </c>
      <c r="E9" s="7" t="inlineStr"/>
      <c r="F9" s="7" t="inlineStr"/>
      <c r="G9" s="7" t="inlineStr"/>
    </row>
    <row r="10">
      <c r="A10" s="6" t="inlineStr">
        <is>
          <t>5</t>
        </is>
      </c>
      <c r="B10" s="6" t="inlineStr">
        <is>
          <t>加工件-钣金件</t>
        </is>
      </c>
      <c r="C10" s="6" t="inlineStr"/>
      <c r="D10" s="6" t="inlineStr">
        <is>
          <t>批</t>
        </is>
      </c>
      <c r="E10" s="6" t="inlineStr"/>
      <c r="F10" s="6" t="inlineStr"/>
      <c r="G10" s="6" t="inlineStr"/>
    </row>
    <row r="11">
      <c r="A11" s="7" t="inlineStr">
        <is>
          <t>6</t>
        </is>
      </c>
      <c r="B11" s="7" t="inlineStr">
        <is>
          <t>标准件-紧固件</t>
        </is>
      </c>
      <c r="C11" s="7" t="inlineStr"/>
      <c r="D11" s="7" t="inlineStr">
        <is>
          <t>批</t>
        </is>
      </c>
      <c r="E11" s="7" t="inlineStr"/>
      <c r="F11" s="7" t="inlineStr"/>
      <c r="G11" s="7" t="inlineStr"/>
    </row>
    <row r="12">
      <c r="A12" s="6" t="inlineStr">
        <is>
          <t>7</t>
        </is>
      </c>
      <c r="B12" s="6" t="inlineStr">
        <is>
          <t>其他材料</t>
        </is>
      </c>
      <c r="C12" s="6" t="inlineStr"/>
      <c r="D12" s="6" t="inlineStr">
        <is>
          <t>批</t>
        </is>
      </c>
      <c r="E12" s="6" t="inlineStr"/>
      <c r="F12" s="6" t="inlineStr"/>
      <c r="G12" s="6" t="inlineStr"/>
    </row>
    <row r="13">
      <c r="A13" s="7" t="inlineStr"/>
      <c r="B13" s="12" t="inlineStr">
        <is>
          <t>材料成本小计</t>
        </is>
      </c>
      <c r="C13" s="7" t="inlineStr"/>
      <c r="D13" s="7" t="inlineStr"/>
      <c r="E13" s="7" t="inlineStr"/>
      <c r="F13" s="13">
        <f>SUM</f>
        <v/>
      </c>
      <c r="G13" s="7" t="inlineStr"/>
    </row>
    <row r="14">
      <c r="A14" s="8" t="inlineStr">
        <is>
          <t>【二、人工成本】</t>
        </is>
      </c>
    </row>
    <row r="15">
      <c r="A15" s="7" t="inlineStr">
        <is>
          <t>8</t>
        </is>
      </c>
      <c r="B15" s="7" t="inlineStr">
        <is>
          <t>机械设计</t>
        </is>
      </c>
      <c r="C15" s="7" t="inlineStr"/>
      <c r="D15" s="7" t="inlineStr">
        <is>
          <t>人天</t>
        </is>
      </c>
      <c r="E15" s="7" t="inlineStr"/>
      <c r="F15" s="7" t="inlineStr"/>
      <c r="G15" s="7" t="inlineStr"/>
    </row>
    <row r="16">
      <c r="A16" s="6" t="inlineStr">
        <is>
          <t>9</t>
        </is>
      </c>
      <c r="B16" s="6" t="inlineStr">
        <is>
          <t>电气设计</t>
        </is>
      </c>
      <c r="C16" s="6" t="inlineStr"/>
      <c r="D16" s="6" t="inlineStr">
        <is>
          <t>人天</t>
        </is>
      </c>
      <c r="E16" s="6" t="inlineStr"/>
      <c r="F16" s="6" t="inlineStr"/>
      <c r="G16" s="6" t="inlineStr"/>
    </row>
    <row r="17">
      <c r="A17" s="7" t="inlineStr">
        <is>
          <t>10</t>
        </is>
      </c>
      <c r="B17" s="7" t="inlineStr">
        <is>
          <t>软件开发</t>
        </is>
      </c>
      <c r="C17" s="7" t="inlineStr"/>
      <c r="D17" s="7" t="inlineStr">
        <is>
          <t>人天</t>
        </is>
      </c>
      <c r="E17" s="7" t="inlineStr"/>
      <c r="F17" s="7" t="inlineStr"/>
      <c r="G17" s="7" t="inlineStr"/>
    </row>
    <row r="18">
      <c r="A18" s="6" t="inlineStr">
        <is>
          <t>11</t>
        </is>
      </c>
      <c r="B18" s="6" t="inlineStr">
        <is>
          <t>机械装配</t>
        </is>
      </c>
      <c r="C18" s="6" t="inlineStr"/>
      <c r="D18" s="6" t="inlineStr">
        <is>
          <t>人天</t>
        </is>
      </c>
      <c r="E18" s="6" t="inlineStr"/>
      <c r="F18" s="6" t="inlineStr"/>
      <c r="G18" s="6" t="inlineStr"/>
    </row>
    <row r="19">
      <c r="A19" s="7" t="inlineStr">
        <is>
          <t>12</t>
        </is>
      </c>
      <c r="B19" s="7" t="inlineStr">
        <is>
          <t>电气接线</t>
        </is>
      </c>
      <c r="C19" s="7" t="inlineStr"/>
      <c r="D19" s="7" t="inlineStr">
        <is>
          <t>人天</t>
        </is>
      </c>
      <c r="E19" s="7" t="inlineStr"/>
      <c r="F19" s="7" t="inlineStr"/>
      <c r="G19" s="7" t="inlineStr"/>
    </row>
    <row r="20">
      <c r="A20" s="6" t="inlineStr">
        <is>
          <t>13</t>
        </is>
      </c>
      <c r="B20" s="6" t="inlineStr">
        <is>
          <t>整机调试</t>
        </is>
      </c>
      <c r="C20" s="6" t="inlineStr"/>
      <c r="D20" s="6" t="inlineStr">
        <is>
          <t>人天</t>
        </is>
      </c>
      <c r="E20" s="6" t="inlineStr"/>
      <c r="F20" s="6" t="inlineStr"/>
      <c r="G20" s="6" t="inlineStr"/>
    </row>
    <row r="21">
      <c r="A21" s="7" t="inlineStr"/>
      <c r="B21" s="12" t="inlineStr">
        <is>
          <t>人工成本小计</t>
        </is>
      </c>
      <c r="C21" s="7" t="inlineStr"/>
      <c r="D21" s="7" t="inlineStr"/>
      <c r="E21" s="7" t="inlineStr"/>
      <c r="F21" s="13">
        <f>SUM</f>
        <v/>
      </c>
      <c r="G21" s="7" t="inlineStr"/>
    </row>
    <row r="22">
      <c r="A22" s="8" t="inlineStr">
        <is>
          <t>【三、外协成本】</t>
        </is>
      </c>
    </row>
    <row r="23">
      <c r="A23" s="7" t="inlineStr">
        <is>
          <t>14</t>
        </is>
      </c>
      <c r="B23" s="7" t="inlineStr">
        <is>
          <t>外协机加工</t>
        </is>
      </c>
      <c r="C23" s="7" t="inlineStr"/>
      <c r="D23" s="7" t="inlineStr">
        <is>
          <t>批</t>
        </is>
      </c>
      <c r="E23" s="7" t="inlineStr"/>
      <c r="F23" s="7" t="inlineStr"/>
      <c r="G23" s="7" t="inlineStr"/>
    </row>
    <row r="24">
      <c r="A24" s="6" t="inlineStr">
        <is>
          <t>15</t>
        </is>
      </c>
      <c r="B24" s="6" t="inlineStr">
        <is>
          <t>外协表面处理</t>
        </is>
      </c>
      <c r="C24" s="6" t="inlineStr"/>
      <c r="D24" s="6" t="inlineStr">
        <is>
          <t>批</t>
        </is>
      </c>
      <c r="E24" s="6" t="inlineStr"/>
      <c r="F24" s="6" t="inlineStr"/>
      <c r="G24" s="6" t="inlineStr"/>
    </row>
    <row r="25">
      <c r="A25" s="7" t="inlineStr">
        <is>
          <t>16</t>
        </is>
      </c>
      <c r="B25" s="7" t="inlineStr">
        <is>
          <t>外协电气柜</t>
        </is>
      </c>
      <c r="C25" s="7" t="inlineStr"/>
      <c r="D25" s="7" t="inlineStr">
        <is>
          <t>台</t>
        </is>
      </c>
      <c r="E25" s="7" t="inlineStr"/>
      <c r="F25" s="7" t="inlineStr"/>
      <c r="G25" s="7" t="inlineStr"/>
    </row>
    <row r="26">
      <c r="A26" s="7" t="inlineStr"/>
      <c r="B26" s="12" t="inlineStr">
        <is>
          <t>外协成本小计</t>
        </is>
      </c>
      <c r="C26" s="7" t="inlineStr"/>
      <c r="D26" s="7" t="inlineStr"/>
      <c r="E26" s="7" t="inlineStr"/>
      <c r="F26" s="13">
        <f>SUM</f>
        <v/>
      </c>
      <c r="G26" s="7" t="inlineStr"/>
    </row>
    <row r="27">
      <c r="A27" s="8" t="inlineStr">
        <is>
          <t>【四、其他费用】</t>
        </is>
      </c>
    </row>
    <row r="28">
      <c r="A28" s="6" t="inlineStr">
        <is>
          <t>17</t>
        </is>
      </c>
      <c r="B28" s="6" t="inlineStr">
        <is>
          <t>包装费</t>
        </is>
      </c>
      <c r="C28" s="6" t="inlineStr"/>
      <c r="D28" s="6" t="inlineStr">
        <is>
          <t>批</t>
        </is>
      </c>
      <c r="E28" s="6" t="inlineStr"/>
      <c r="F28" s="6" t="inlineStr"/>
      <c r="G28" s="6" t="inlineStr"/>
    </row>
    <row r="29">
      <c r="A29" s="7" t="inlineStr">
        <is>
          <t>18</t>
        </is>
      </c>
      <c r="B29" s="7" t="inlineStr">
        <is>
          <t>运输费</t>
        </is>
      </c>
      <c r="C29" s="7" t="inlineStr"/>
      <c r="D29" s="7" t="inlineStr">
        <is>
          <t>批</t>
        </is>
      </c>
      <c r="E29" s="7" t="inlineStr"/>
      <c r="F29" s="7" t="inlineStr"/>
      <c r="G29" s="7" t="inlineStr"/>
    </row>
    <row r="30">
      <c r="A30" s="6" t="inlineStr">
        <is>
          <t>19</t>
        </is>
      </c>
      <c r="B30" s="6" t="inlineStr">
        <is>
          <t>安装调试费</t>
        </is>
      </c>
      <c r="C30" s="6" t="inlineStr"/>
      <c r="D30" s="6" t="inlineStr">
        <is>
          <t>批</t>
        </is>
      </c>
      <c r="E30" s="6" t="inlineStr"/>
      <c r="F30" s="6" t="inlineStr"/>
      <c r="G30" s="6" t="inlineStr">
        <is>
          <t>人工+差旅</t>
        </is>
      </c>
    </row>
    <row r="31">
      <c r="A31" s="7" t="inlineStr">
        <is>
          <t>20</t>
        </is>
      </c>
      <c r="B31" s="7" t="inlineStr">
        <is>
          <t>培训费</t>
        </is>
      </c>
      <c r="C31" s="7" t="inlineStr"/>
      <c r="D31" s="7" t="inlineStr">
        <is>
          <t>批</t>
        </is>
      </c>
      <c r="E31" s="7" t="inlineStr"/>
      <c r="F31" s="7" t="inlineStr"/>
      <c r="G31" s="7" t="inlineStr"/>
    </row>
    <row r="32">
      <c r="A32" s="6" t="inlineStr">
        <is>
          <t>21</t>
        </is>
      </c>
      <c r="B32" s="6" t="inlineStr">
        <is>
          <t>项目管理费</t>
        </is>
      </c>
      <c r="C32" s="6" t="inlineStr"/>
      <c r="D32" s="6" t="inlineStr">
        <is>
          <t>批</t>
        </is>
      </c>
      <c r="E32" s="6" t="inlineStr"/>
      <c r="F32" s="6" t="inlineStr"/>
      <c r="G32" s="6" t="inlineStr">
        <is>
          <t>按比例</t>
        </is>
      </c>
    </row>
    <row r="33">
      <c r="A33" s="7" t="inlineStr"/>
      <c r="B33" s="12" t="inlineStr">
        <is>
          <t>其他费用小计</t>
        </is>
      </c>
      <c r="C33" s="7" t="inlineStr"/>
      <c r="D33" s="7" t="inlineStr"/>
      <c r="E33" s="7" t="inlineStr"/>
      <c r="F33" s="13">
        <f>SUM</f>
        <v/>
      </c>
      <c r="G33" s="7" t="inlineStr"/>
    </row>
    <row r="34">
      <c r="A34" s="8" t="inlineStr">
        <is>
          <t>【五、成本汇总】</t>
        </is>
      </c>
    </row>
    <row r="35">
      <c r="A35" s="7" t="inlineStr"/>
      <c r="B35" s="12" t="inlineStr">
        <is>
          <t>直接成本合计</t>
        </is>
      </c>
      <c r="C35" s="7" t="inlineStr"/>
      <c r="D35" s="7" t="inlineStr"/>
      <c r="E35" s="7" t="inlineStr"/>
      <c r="F35" s="13">
        <f>材料+人工+外协</f>
        <v/>
      </c>
      <c r="G35" s="7" t="inlineStr"/>
    </row>
    <row r="36">
      <c r="A36" s="7" t="inlineStr"/>
      <c r="B36" s="12" t="inlineStr">
        <is>
          <t>间接成本合计</t>
        </is>
      </c>
      <c r="C36" s="7" t="inlineStr"/>
      <c r="D36" s="7" t="inlineStr"/>
      <c r="E36" s="7" t="inlineStr"/>
      <c r="F36" s="13">
        <f>其他费用</f>
        <v/>
      </c>
      <c r="G36" s="7" t="inlineStr"/>
    </row>
    <row r="37">
      <c r="A37" s="7" t="inlineStr"/>
      <c r="B37" s="12" t="inlineStr">
        <is>
          <t>风险预备(5%)</t>
        </is>
      </c>
      <c r="C37" s="7" t="inlineStr"/>
      <c r="D37" s="7" t="inlineStr"/>
      <c r="E37" s="7" t="inlineStr"/>
      <c r="F37" s="7">
        <f>总成本×5%</f>
        <v/>
      </c>
      <c r="G37" s="7" t="inlineStr"/>
    </row>
    <row r="38">
      <c r="A38" s="7" t="inlineStr"/>
      <c r="B38" s="12" t="inlineStr">
        <is>
          <t>总成本</t>
        </is>
      </c>
      <c r="C38" s="7" t="inlineStr"/>
      <c r="D38" s="7" t="inlineStr"/>
      <c r="E38" s="7" t="inlineStr"/>
      <c r="F38" s="13">
        <f>直接+间接+风险</f>
        <v/>
      </c>
      <c r="G38" s="7" t="inlineStr"/>
    </row>
    <row r="39">
      <c r="A39" s="8" t="inlineStr">
        <is>
          <t>【六、报价】</t>
        </is>
      </c>
    </row>
    <row r="40">
      <c r="A40" s="7" t="inlineStr"/>
      <c r="B40" s="12" t="inlineStr">
        <is>
          <t>目标毛利率</t>
        </is>
      </c>
      <c r="C40" s="7" t="inlineStr"/>
      <c r="D40" s="7" t="inlineStr"/>
      <c r="E40" s="7" t="inlineStr"/>
      <c r="F40" s="7" t="inlineStr">
        <is>
          <t>25%</t>
        </is>
      </c>
      <c r="G40" s="7" t="inlineStr"/>
    </row>
    <row r="41">
      <c r="A41" s="7" t="inlineStr"/>
      <c r="B41" s="12" t="inlineStr">
        <is>
          <t>报价金额(含税)</t>
        </is>
      </c>
      <c r="C41" s="7" t="inlineStr"/>
      <c r="D41" s="7" t="inlineStr"/>
      <c r="E41" s="7" t="inlineStr"/>
      <c r="F41" s="14">
        <f>总成本/(1-毛利率)</f>
        <v/>
      </c>
      <c r="G41" s="7" t="inlineStr"/>
    </row>
    <row r="42">
      <c r="A42" s="7" t="inlineStr"/>
      <c r="B42" s="12" t="inlineStr">
        <is>
          <t>报价金额(不含税)</t>
        </is>
      </c>
      <c r="C42" s="7" t="inlineStr"/>
      <c r="D42" s="7" t="inlineStr"/>
      <c r="E42" s="7" t="inlineStr"/>
      <c r="F42" s="14">
        <f>含税/1.13</f>
        <v/>
      </c>
      <c r="G42" s="7" t="inlineStr"/>
    </row>
  </sheetData>
  <mergeCells count="8">
    <mergeCell ref="A14:G14"/>
    <mergeCell ref="A1:G1"/>
    <mergeCell ref="A27:G27"/>
    <mergeCell ref="A3:G3"/>
    <mergeCell ref="A22:G22"/>
    <mergeCell ref="A34:G34"/>
    <mergeCell ref="A39:G39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 ht="35" customHeight="1">
      <c r="A1" s="1" t="inlineStr">
        <is>
          <t>工时标准库设计</t>
        </is>
      </c>
    </row>
    <row r="3" ht="25" customHeight="1">
      <c r="A3" s="3" t="inlineStr">
        <is>
          <t>一、设计工时标准</t>
        </is>
      </c>
    </row>
    <row r="4">
      <c r="A4" s="5" t="inlineStr">
        <is>
          <t>序号</t>
        </is>
      </c>
      <c r="B4" s="5" t="inlineStr">
        <is>
          <t>设计类型</t>
        </is>
      </c>
      <c r="C4" s="5" t="inlineStr">
        <is>
          <t>工作内容</t>
        </is>
      </c>
      <c r="D4" s="5" t="inlineStr">
        <is>
          <t>标准工时</t>
        </is>
      </c>
      <c r="E4" s="5" t="inlineStr">
        <is>
          <t>单位</t>
        </is>
      </c>
      <c r="F4" s="5" t="inlineStr">
        <is>
          <t>说明</t>
        </is>
      </c>
    </row>
    <row r="5">
      <c r="A5" s="8" t="inlineStr">
        <is>
          <t>【机械设计】</t>
        </is>
      </c>
    </row>
    <row r="6">
      <c r="A6" s="6" t="inlineStr">
        <is>
          <t>1</t>
        </is>
      </c>
      <c r="B6" s="6" t="inlineStr">
        <is>
          <t>简单工位</t>
        </is>
      </c>
      <c r="C6" s="6" t="inlineStr">
        <is>
          <t>单轴运动、简单机构</t>
        </is>
      </c>
      <c r="D6" s="6" t="inlineStr">
        <is>
          <t>3-5</t>
        </is>
      </c>
      <c r="E6" s="6" t="inlineStr">
        <is>
          <t>人天/工位</t>
        </is>
      </c>
      <c r="F6" s="6" t="inlineStr">
        <is>
          <t>如顶升、推料</t>
        </is>
      </c>
    </row>
    <row r="7">
      <c r="A7" s="7" t="inlineStr">
        <is>
          <t>2</t>
        </is>
      </c>
      <c r="B7" s="7" t="inlineStr">
        <is>
          <t>中等工位</t>
        </is>
      </c>
      <c r="C7" s="7" t="inlineStr">
        <is>
          <t>多轴联动、一般机构</t>
        </is>
      </c>
      <c r="D7" s="7" t="inlineStr">
        <is>
          <t>5-10</t>
        </is>
      </c>
      <c r="E7" s="7" t="inlineStr">
        <is>
          <t>人天/工位</t>
        </is>
      </c>
      <c r="F7" s="7" t="inlineStr">
        <is>
          <t>如搬运、检测</t>
        </is>
      </c>
    </row>
    <row r="8">
      <c r="A8" s="6" t="inlineStr">
        <is>
          <t>3</t>
        </is>
      </c>
      <c r="B8" s="6" t="inlineStr">
        <is>
          <t>复杂工位</t>
        </is>
      </c>
      <c r="C8" s="6" t="inlineStr">
        <is>
          <t>复杂机构、高精度</t>
        </is>
      </c>
      <c r="D8" s="6" t="inlineStr">
        <is>
          <t>10-20</t>
        </is>
      </c>
      <c r="E8" s="6" t="inlineStr">
        <is>
          <t>人天/工位</t>
        </is>
      </c>
      <c r="F8" s="6" t="inlineStr">
        <is>
          <t>如装配、焊接</t>
        </is>
      </c>
    </row>
    <row r="9">
      <c r="A9" s="7" t="inlineStr">
        <is>
          <t>4</t>
        </is>
      </c>
      <c r="B9" s="7" t="inlineStr">
        <is>
          <t>整线设计</t>
        </is>
      </c>
      <c r="C9" s="7" t="inlineStr">
        <is>
          <t>整线布局、集成设计</t>
        </is>
      </c>
      <c r="D9" s="7" t="inlineStr">
        <is>
          <t>5-10</t>
        </is>
      </c>
      <c r="E9" s="7" t="inlineStr">
        <is>
          <t>人天/线</t>
        </is>
      </c>
      <c r="F9" s="7" t="inlineStr">
        <is>
          <t>含布局、物流</t>
        </is>
      </c>
    </row>
    <row r="10">
      <c r="A10" s="8" t="inlineStr">
        <is>
          <t>【电气设计】</t>
        </is>
      </c>
    </row>
    <row r="11">
      <c r="A11" s="7" t="inlineStr">
        <is>
          <t>5</t>
        </is>
      </c>
      <c r="B11" s="7" t="inlineStr">
        <is>
          <t>简单电气</t>
        </is>
      </c>
      <c r="C11" s="7" t="inlineStr">
        <is>
          <t>基础控制、少量IO</t>
        </is>
      </c>
      <c r="D11" s="7" t="inlineStr">
        <is>
          <t>2-3</t>
        </is>
      </c>
      <c r="E11" s="7" t="inlineStr">
        <is>
          <t>人天/工位</t>
        </is>
      </c>
      <c r="F11" s="7" t="inlineStr">
        <is>
          <t>IO点数&lt;50</t>
        </is>
      </c>
    </row>
    <row r="12">
      <c r="A12" s="6" t="inlineStr">
        <is>
          <t>6</t>
        </is>
      </c>
      <c r="B12" s="6" t="inlineStr">
        <is>
          <t>中等电气</t>
        </is>
      </c>
      <c r="C12" s="6" t="inlineStr">
        <is>
          <t>伺服控制、一般通讯</t>
        </is>
      </c>
      <c r="D12" s="6" t="inlineStr">
        <is>
          <t>3-5</t>
        </is>
      </c>
      <c r="E12" s="6" t="inlineStr">
        <is>
          <t>人天/工位</t>
        </is>
      </c>
      <c r="F12" s="6" t="inlineStr">
        <is>
          <t>IO点数50-200</t>
        </is>
      </c>
    </row>
    <row r="13">
      <c r="A13" s="7" t="inlineStr">
        <is>
          <t>7</t>
        </is>
      </c>
      <c r="B13" s="7" t="inlineStr">
        <is>
          <t>复杂电气</t>
        </is>
      </c>
      <c r="C13" s="7" t="inlineStr">
        <is>
          <t>多轴同步、复杂通讯</t>
        </is>
      </c>
      <c r="D13" s="7" t="inlineStr">
        <is>
          <t>5-10</t>
        </is>
      </c>
      <c r="E13" s="7" t="inlineStr">
        <is>
          <t>人天/工位</t>
        </is>
      </c>
      <c r="F13" s="7" t="inlineStr">
        <is>
          <t>IO点数&gt;200</t>
        </is>
      </c>
    </row>
    <row r="14">
      <c r="A14" s="6" t="inlineStr">
        <is>
          <t>8</t>
        </is>
      </c>
      <c r="B14" s="6" t="inlineStr">
        <is>
          <t>电气柜设计</t>
        </is>
      </c>
      <c r="C14" s="6" t="inlineStr">
        <is>
          <t>电气柜布局、接线图</t>
        </is>
      </c>
      <c r="D14" s="6" t="inlineStr">
        <is>
          <t>2-3</t>
        </is>
      </c>
      <c r="E14" s="6" t="inlineStr">
        <is>
          <t>人天/柜</t>
        </is>
      </c>
      <c r="F14" s="6" t="inlineStr"/>
    </row>
    <row r="15">
      <c r="A15" s="8" t="inlineStr">
        <is>
          <t>【软件开发】</t>
        </is>
      </c>
    </row>
    <row r="16">
      <c r="A16" s="6" t="inlineStr">
        <is>
          <t>9</t>
        </is>
      </c>
      <c r="B16" s="6" t="inlineStr">
        <is>
          <t>PLC程序</t>
        </is>
      </c>
      <c r="C16" s="6" t="inlineStr">
        <is>
          <t>基础逻辑控制</t>
        </is>
      </c>
      <c r="D16" s="6" t="inlineStr">
        <is>
          <t>3-5</t>
        </is>
      </c>
      <c r="E16" s="6" t="inlineStr">
        <is>
          <t>人天/工位</t>
        </is>
      </c>
      <c r="F16" s="6" t="inlineStr">
        <is>
          <t>标准动作</t>
        </is>
      </c>
    </row>
    <row r="17">
      <c r="A17" s="7" t="inlineStr">
        <is>
          <t>10</t>
        </is>
      </c>
      <c r="B17" s="7" t="inlineStr">
        <is>
          <t>HMI程序</t>
        </is>
      </c>
      <c r="C17" s="7" t="inlineStr">
        <is>
          <t>触摸屏界面开发</t>
        </is>
      </c>
      <c r="D17" s="7" t="inlineStr">
        <is>
          <t>2-5</t>
        </is>
      </c>
      <c r="E17" s="7" t="inlineStr">
        <is>
          <t>人天/项目</t>
        </is>
      </c>
      <c r="F17" s="7" t="inlineStr">
        <is>
          <t>按界面数量</t>
        </is>
      </c>
    </row>
    <row r="18">
      <c r="A18" s="6" t="inlineStr">
        <is>
          <t>11</t>
        </is>
      </c>
      <c r="B18" s="6" t="inlineStr">
        <is>
          <t>上位机</t>
        </is>
      </c>
      <c r="C18" s="6" t="inlineStr">
        <is>
          <t>数据采集、MES对接</t>
        </is>
      </c>
      <c r="D18" s="6" t="inlineStr">
        <is>
          <t>10-30</t>
        </is>
      </c>
      <c r="E18" s="6" t="inlineStr">
        <is>
          <t>人天/项目</t>
        </is>
      </c>
      <c r="F18" s="6" t="inlineStr">
        <is>
          <t>按功能复杂度</t>
        </is>
      </c>
    </row>
    <row r="19">
      <c r="A19" s="7" t="inlineStr">
        <is>
          <t>12</t>
        </is>
      </c>
      <c r="B19" s="7" t="inlineStr">
        <is>
          <t>视觉程序</t>
        </is>
      </c>
      <c r="C19" s="7" t="inlineStr">
        <is>
          <t>视觉检测程序开发</t>
        </is>
      </c>
      <c r="D19" s="7" t="inlineStr">
        <is>
          <t>5-15</t>
        </is>
      </c>
      <c r="E19" s="7" t="inlineStr">
        <is>
          <t>人天/工位</t>
        </is>
      </c>
      <c r="F19" s="7" t="inlineStr">
        <is>
          <t>按检测复杂度</t>
        </is>
      </c>
    </row>
    <row r="22" ht="25" customHeight="1">
      <c r="A22" s="3" t="inlineStr">
        <is>
          <t>二、装配调试工时标准</t>
        </is>
      </c>
    </row>
    <row r="23">
      <c r="A23" s="5" t="inlineStr">
        <is>
          <t>序号</t>
        </is>
      </c>
      <c r="B23" s="5" t="inlineStr">
        <is>
          <t>作业类型</t>
        </is>
      </c>
      <c r="C23" s="5" t="inlineStr">
        <is>
          <t>工作内容</t>
        </is>
      </c>
      <c r="D23" s="5" t="inlineStr">
        <is>
          <t>标准工时</t>
        </is>
      </c>
      <c r="E23" s="5" t="inlineStr">
        <is>
          <t>单位</t>
        </is>
      </c>
      <c r="F23" s="5" t="inlineStr">
        <is>
          <t>说明</t>
        </is>
      </c>
    </row>
    <row r="24">
      <c r="A24" s="8" t="inlineStr">
        <is>
          <t>【机械装配】</t>
        </is>
      </c>
    </row>
    <row r="25">
      <c r="A25" s="7" t="inlineStr">
        <is>
          <t>1</t>
        </is>
      </c>
      <c r="B25" s="7" t="inlineStr">
        <is>
          <t>简单工位装配</t>
        </is>
      </c>
      <c r="C25" s="7" t="inlineStr">
        <is>
          <t>单轴机构装配</t>
        </is>
      </c>
      <c r="D25" s="7" t="inlineStr">
        <is>
          <t>1-2</t>
        </is>
      </c>
      <c r="E25" s="7" t="inlineStr">
        <is>
          <t>人天/工位</t>
        </is>
      </c>
      <c r="F25" s="7" t="inlineStr"/>
    </row>
    <row r="26">
      <c r="A26" s="6" t="inlineStr">
        <is>
          <t>2</t>
        </is>
      </c>
      <c r="B26" s="6" t="inlineStr">
        <is>
          <t>中等工位装配</t>
        </is>
      </c>
      <c r="C26" s="6" t="inlineStr">
        <is>
          <t>多轴机构装配</t>
        </is>
      </c>
      <c r="D26" s="6" t="inlineStr">
        <is>
          <t>2-4</t>
        </is>
      </c>
      <c r="E26" s="6" t="inlineStr">
        <is>
          <t>人天/工位</t>
        </is>
      </c>
      <c r="F26" s="6" t="inlineStr"/>
    </row>
    <row r="27">
      <c r="A27" s="7" t="inlineStr">
        <is>
          <t>3</t>
        </is>
      </c>
      <c r="B27" s="7" t="inlineStr">
        <is>
          <t>复杂工位装配</t>
        </is>
      </c>
      <c r="C27" s="7" t="inlineStr">
        <is>
          <t>复杂机构装配调整</t>
        </is>
      </c>
      <c r="D27" s="7" t="inlineStr">
        <is>
          <t>4-8</t>
        </is>
      </c>
      <c r="E27" s="7" t="inlineStr">
        <is>
          <t>人天/工位</t>
        </is>
      </c>
      <c r="F27" s="7" t="inlineStr"/>
    </row>
    <row r="28">
      <c r="A28" s="6" t="inlineStr">
        <is>
          <t>4</t>
        </is>
      </c>
      <c r="B28" s="6" t="inlineStr">
        <is>
          <t>整机装配</t>
        </is>
      </c>
      <c r="C28" s="6" t="inlineStr">
        <is>
          <t>整线集成装配</t>
        </is>
      </c>
      <c r="D28" s="6" t="inlineStr">
        <is>
          <t>按工位累加</t>
        </is>
      </c>
      <c r="E28" s="6" t="inlineStr"/>
      <c r="F28" s="6" t="inlineStr"/>
    </row>
    <row r="29">
      <c r="A29" s="8" t="inlineStr">
        <is>
          <t>【电气接线】</t>
        </is>
      </c>
    </row>
    <row r="30">
      <c r="A30" s="6" t="inlineStr">
        <is>
          <t>5</t>
        </is>
      </c>
      <c r="B30" s="6" t="inlineStr">
        <is>
          <t>电气柜接线</t>
        </is>
      </c>
      <c r="C30" s="6" t="inlineStr">
        <is>
          <t>电气柜内部接线</t>
        </is>
      </c>
      <c r="D30" s="6" t="inlineStr">
        <is>
          <t>2-4</t>
        </is>
      </c>
      <c r="E30" s="6" t="inlineStr">
        <is>
          <t>人天/柜</t>
        </is>
      </c>
      <c r="F30" s="6" t="inlineStr">
        <is>
          <t>按点位数量</t>
        </is>
      </c>
    </row>
    <row r="31">
      <c r="A31" s="7" t="inlineStr">
        <is>
          <t>6</t>
        </is>
      </c>
      <c r="B31" s="7" t="inlineStr">
        <is>
          <t>现场接线</t>
        </is>
      </c>
      <c r="C31" s="7" t="inlineStr">
        <is>
          <t>传感器、执行器接线</t>
        </is>
      </c>
      <c r="D31" s="7" t="inlineStr">
        <is>
          <t>1-2</t>
        </is>
      </c>
      <c r="E31" s="7" t="inlineStr">
        <is>
          <t>人天/工位</t>
        </is>
      </c>
      <c r="F31" s="7" t="inlineStr"/>
    </row>
    <row r="32">
      <c r="A32" s="8" t="inlineStr">
        <is>
          <t>【调试】</t>
        </is>
      </c>
    </row>
    <row r="33">
      <c r="A33" s="7" t="inlineStr">
        <is>
          <t>7</t>
        </is>
      </c>
      <c r="B33" s="7" t="inlineStr">
        <is>
          <t>单工位调试</t>
        </is>
      </c>
      <c r="C33" s="7" t="inlineStr">
        <is>
          <t>单工位功能调试</t>
        </is>
      </c>
      <c r="D33" s="7" t="inlineStr">
        <is>
          <t>1-3</t>
        </is>
      </c>
      <c r="E33" s="7" t="inlineStr">
        <is>
          <t>人天/工位</t>
        </is>
      </c>
      <c r="F33" s="7" t="inlineStr"/>
    </row>
    <row r="34">
      <c r="A34" s="6" t="inlineStr">
        <is>
          <t>8</t>
        </is>
      </c>
      <c r="B34" s="6" t="inlineStr">
        <is>
          <t>整线联调</t>
        </is>
      </c>
      <c r="C34" s="6" t="inlineStr">
        <is>
          <t>整线联动调试</t>
        </is>
      </c>
      <c r="D34" s="6" t="inlineStr">
        <is>
          <t>5-15</t>
        </is>
      </c>
      <c r="E34" s="6" t="inlineStr">
        <is>
          <t>人天/线</t>
        </is>
      </c>
      <c r="F34" s="6" t="inlineStr">
        <is>
          <t>按复杂度</t>
        </is>
      </c>
    </row>
    <row r="35">
      <c r="A35" s="7" t="inlineStr">
        <is>
          <t>9</t>
        </is>
      </c>
      <c r="B35" s="7" t="inlineStr">
        <is>
          <t>工艺调试</t>
        </is>
      </c>
      <c r="C35" s="7" t="inlineStr">
        <is>
          <t>工艺参数调试优化</t>
        </is>
      </c>
      <c r="D35" s="7" t="inlineStr">
        <is>
          <t>3-10</t>
        </is>
      </c>
      <c r="E35" s="7" t="inlineStr">
        <is>
          <t>人天/线</t>
        </is>
      </c>
      <c r="F35" s="7" t="inlineStr">
        <is>
          <t>按产品工艺</t>
        </is>
      </c>
    </row>
    <row r="36">
      <c r="A36" s="6" t="inlineStr">
        <is>
          <t>10</t>
        </is>
      </c>
      <c r="B36" s="6" t="inlineStr">
        <is>
          <t>客户产品调试</t>
        </is>
      </c>
      <c r="C36" s="6" t="inlineStr">
        <is>
          <t>使用客户产品调试</t>
        </is>
      </c>
      <c r="D36" s="6" t="inlineStr">
        <is>
          <t>3-5</t>
        </is>
      </c>
      <c r="E36" s="6" t="inlineStr">
        <is>
          <t>人天/线</t>
        </is>
      </c>
      <c r="F36" s="6" t="inlineStr"/>
    </row>
    <row r="38" ht="25" customHeight="1">
      <c r="A38" s="3" t="inlineStr">
        <is>
          <t>三、工时单价参考</t>
        </is>
      </c>
    </row>
    <row r="39">
      <c r="A39" s="5" t="inlineStr">
        <is>
          <t>工种</t>
        </is>
      </c>
      <c r="B39" s="5" t="inlineStr">
        <is>
          <t>级别</t>
        </is>
      </c>
      <c r="C39" s="5" t="inlineStr">
        <is>
          <t>日单价(元)</t>
        </is>
      </c>
      <c r="D39" s="5" t="inlineStr">
        <is>
          <t>说明</t>
        </is>
      </c>
    </row>
    <row r="40">
      <c r="A40" s="6" t="inlineStr">
        <is>
          <t>机械设计</t>
        </is>
      </c>
      <c r="B40" s="6" t="inlineStr">
        <is>
          <t>工程师</t>
        </is>
      </c>
      <c r="C40" s="6" t="inlineStr">
        <is>
          <t>800-1200</t>
        </is>
      </c>
      <c r="D40" s="6" t="inlineStr">
        <is>
          <t>3-5年经验</t>
        </is>
      </c>
    </row>
    <row r="41">
      <c r="A41" s="7" t="inlineStr">
        <is>
          <t>机械设计</t>
        </is>
      </c>
      <c r="B41" s="7" t="inlineStr">
        <is>
          <t>高级工程师</t>
        </is>
      </c>
      <c r="C41" s="7" t="inlineStr">
        <is>
          <t>1200-1800</t>
        </is>
      </c>
      <c r="D41" s="7" t="inlineStr">
        <is>
          <t>5年以上经验</t>
        </is>
      </c>
    </row>
    <row r="42">
      <c r="A42" s="6" t="inlineStr">
        <is>
          <t>电气设计</t>
        </is>
      </c>
      <c r="B42" s="6" t="inlineStr">
        <is>
          <t>工程师</t>
        </is>
      </c>
      <c r="C42" s="6" t="inlineStr">
        <is>
          <t>900-1300</t>
        </is>
      </c>
      <c r="D42" s="6" t="inlineStr">
        <is>
          <t>3-5年经验</t>
        </is>
      </c>
    </row>
    <row r="43">
      <c r="A43" s="7" t="inlineStr">
        <is>
          <t>电气设计</t>
        </is>
      </c>
      <c r="B43" s="7" t="inlineStr">
        <is>
          <t>高级工程师</t>
        </is>
      </c>
      <c r="C43" s="7" t="inlineStr">
        <is>
          <t>1300-2000</t>
        </is>
      </c>
      <c r="D43" s="7" t="inlineStr">
        <is>
          <t>5年以上经验</t>
        </is>
      </c>
    </row>
    <row r="44">
      <c r="A44" s="6" t="inlineStr">
        <is>
          <t>软件开发</t>
        </is>
      </c>
      <c r="B44" s="6" t="inlineStr">
        <is>
          <t>工程师</t>
        </is>
      </c>
      <c r="C44" s="6" t="inlineStr">
        <is>
          <t>1000-1500</t>
        </is>
      </c>
      <c r="D44" s="6" t="inlineStr">
        <is>
          <t>3-5年经验</t>
        </is>
      </c>
    </row>
    <row r="45">
      <c r="A45" s="7" t="inlineStr">
        <is>
          <t>软件开发</t>
        </is>
      </c>
      <c r="B45" s="7" t="inlineStr">
        <is>
          <t>高级工程师</t>
        </is>
      </c>
      <c r="C45" s="7" t="inlineStr">
        <is>
          <t>1500-2500</t>
        </is>
      </c>
      <c r="D45" s="7" t="inlineStr">
        <is>
          <t>5年以上经验</t>
        </is>
      </c>
    </row>
    <row r="46">
      <c r="A46" s="6" t="inlineStr">
        <is>
          <t>装配技工</t>
        </is>
      </c>
      <c r="B46" s="6" t="inlineStr">
        <is>
          <t>技工</t>
        </is>
      </c>
      <c r="C46" s="6" t="inlineStr">
        <is>
          <t>400-600</t>
        </is>
      </c>
      <c r="D46" s="6" t="inlineStr">
        <is>
          <t>熟练技工</t>
        </is>
      </c>
    </row>
    <row r="47">
      <c r="A47" s="7" t="inlineStr">
        <is>
          <t>调试工程师</t>
        </is>
      </c>
      <c r="B47" s="7" t="inlineStr">
        <is>
          <t>工程师</t>
        </is>
      </c>
      <c r="C47" s="7" t="inlineStr">
        <is>
          <t>800-1200</t>
        </is>
      </c>
      <c r="D47" s="7" t="inlineStr"/>
    </row>
    <row r="48">
      <c r="A48" s="6" t="inlineStr">
        <is>
          <t>现场服务</t>
        </is>
      </c>
      <c r="B48" s="6" t="inlineStr">
        <is>
          <t>工程师</t>
        </is>
      </c>
      <c r="C48" s="6" t="inlineStr">
        <is>
          <t>1000-1500</t>
        </is>
      </c>
      <c r="D48" s="6" t="inlineStr">
        <is>
          <t>含差旅补贴</t>
        </is>
      </c>
    </row>
  </sheetData>
  <mergeCells count="10">
    <mergeCell ref="A24:F24"/>
    <mergeCell ref="A38:F38"/>
    <mergeCell ref="A10:F10"/>
    <mergeCell ref="A1:F1"/>
    <mergeCell ref="A5:F5"/>
    <mergeCell ref="A29:F29"/>
    <mergeCell ref="A32:F32"/>
    <mergeCell ref="A22:F22"/>
    <mergeCell ref="A3:F3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20" customWidth="1" min="4" max="4"/>
    <col width="25" customWidth="1" min="5" max="5"/>
  </cols>
  <sheetData>
    <row r="1" ht="35" customHeight="1">
      <c r="A1" s="1" t="inlineStr">
        <is>
          <t>项目成本归集设计</t>
        </is>
      </c>
    </row>
    <row r="3" ht="25" customHeight="1">
      <c r="A3" s="3" t="inlineStr">
        <is>
          <t>一、成本归集来源</t>
        </is>
      </c>
    </row>
    <row r="4">
      <c r="A4" s="5" t="inlineStr">
        <is>
          <t>成本类别</t>
        </is>
      </c>
      <c r="B4" s="5" t="inlineStr">
        <is>
          <t>成本项</t>
        </is>
      </c>
      <c r="C4" s="5" t="inlineStr">
        <is>
          <t>数据来源</t>
        </is>
      </c>
      <c r="D4" s="5" t="inlineStr">
        <is>
          <t>归集方式</t>
        </is>
      </c>
    </row>
    <row r="5">
      <c r="A5" s="7" t="inlineStr">
        <is>
          <t>材料成本</t>
        </is>
      </c>
      <c r="B5" s="7" t="inlineStr">
        <is>
          <t>采购入库</t>
        </is>
      </c>
      <c r="C5" s="7" t="inlineStr">
        <is>
          <t>采购系统-入库单</t>
        </is>
      </c>
      <c r="D5" s="7" t="inlineStr">
        <is>
          <t>按项目号自动归集</t>
        </is>
      </c>
    </row>
    <row r="6">
      <c r="A6" s="6" t="inlineStr"/>
      <c r="B6" s="6" t="inlineStr">
        <is>
          <t>领料出库</t>
        </is>
      </c>
      <c r="C6" s="6" t="inlineStr">
        <is>
          <t>仓库系统-领料单</t>
        </is>
      </c>
      <c r="D6" s="6" t="inlineStr">
        <is>
          <t>按项目号自动归集</t>
        </is>
      </c>
    </row>
    <row r="7">
      <c r="A7" s="7" t="inlineStr"/>
      <c r="B7" s="7" t="inlineStr">
        <is>
          <t>退料</t>
        </is>
      </c>
      <c r="C7" s="7" t="inlineStr">
        <is>
          <t>仓库系统-退料单</t>
        </is>
      </c>
      <c r="D7" s="7" t="inlineStr">
        <is>
          <t>按项目号冲减</t>
        </is>
      </c>
    </row>
    <row r="8">
      <c r="A8" s="6" t="inlineStr">
        <is>
          <t>人工成本</t>
        </is>
      </c>
      <c r="B8" s="6" t="inlineStr">
        <is>
          <t>设计工时</t>
        </is>
      </c>
      <c r="C8" s="6" t="inlineStr">
        <is>
          <t>工时系统-工时记录</t>
        </is>
      </c>
      <c r="D8" s="6" t="inlineStr">
        <is>
          <t>按项目号汇总</t>
        </is>
      </c>
    </row>
    <row r="9">
      <c r="A9" s="7" t="inlineStr"/>
      <c r="B9" s="7" t="inlineStr">
        <is>
          <t>生产工时</t>
        </is>
      </c>
      <c r="C9" s="7" t="inlineStr">
        <is>
          <t>MES-报工记录</t>
        </is>
      </c>
      <c r="D9" s="7" t="inlineStr">
        <is>
          <t>按工单→项目归集</t>
        </is>
      </c>
    </row>
    <row r="10">
      <c r="A10" s="6" t="inlineStr"/>
      <c r="B10" s="6" t="inlineStr">
        <is>
          <t>调试工时</t>
        </is>
      </c>
      <c r="C10" s="6" t="inlineStr">
        <is>
          <t>工时系统-工时记录</t>
        </is>
      </c>
      <c r="D10" s="6" t="inlineStr">
        <is>
          <t>按项目号汇总</t>
        </is>
      </c>
    </row>
    <row r="11">
      <c r="A11" s="7" t="inlineStr">
        <is>
          <t>外协成本</t>
        </is>
      </c>
      <c r="B11" s="7" t="inlineStr">
        <is>
          <t>外协加工</t>
        </is>
      </c>
      <c r="C11" s="7" t="inlineStr">
        <is>
          <t>采购系统-外协入库</t>
        </is>
      </c>
      <c r="D11" s="7" t="inlineStr">
        <is>
          <t>按项目号归集</t>
        </is>
      </c>
    </row>
    <row r="12">
      <c r="A12" s="6" t="inlineStr"/>
      <c r="B12" s="6" t="inlineStr">
        <is>
          <t>外协装配</t>
        </is>
      </c>
      <c r="C12" s="6" t="inlineStr">
        <is>
          <t>采购系统-外协结算</t>
        </is>
      </c>
      <c r="D12" s="6" t="inlineStr">
        <is>
          <t>按项目号归集</t>
        </is>
      </c>
    </row>
    <row r="13">
      <c r="A13" s="7" t="inlineStr">
        <is>
          <t>其他费用</t>
        </is>
      </c>
      <c r="B13" s="7" t="inlineStr">
        <is>
          <t>差旅费</t>
        </is>
      </c>
      <c r="C13" s="7" t="inlineStr">
        <is>
          <t>费用报销系统</t>
        </is>
      </c>
      <c r="D13" s="7" t="inlineStr">
        <is>
          <t>按项目号报销</t>
        </is>
      </c>
    </row>
    <row r="14">
      <c r="A14" s="6" t="inlineStr"/>
      <c r="B14" s="6" t="inlineStr">
        <is>
          <t>运输费</t>
        </is>
      </c>
      <c r="C14" s="6" t="inlineStr">
        <is>
          <t>物流系统/费用报销</t>
        </is>
      </c>
      <c r="D14" s="6" t="inlineStr">
        <is>
          <t>按项目归集</t>
        </is>
      </c>
    </row>
    <row r="15">
      <c r="A15" s="7" t="inlineStr"/>
      <c r="B15" s="7" t="inlineStr">
        <is>
          <t>其他</t>
        </is>
      </c>
      <c r="C15" s="7" t="inlineStr">
        <is>
          <t>费用报销系统</t>
        </is>
      </c>
      <c r="D15" s="7" t="inlineStr">
        <is>
          <t>按项目号报销</t>
        </is>
      </c>
    </row>
    <row r="18" ht="25" customHeight="1">
      <c r="A18" s="3" t="inlineStr">
        <is>
          <t>二、成本归集时点</t>
        </is>
      </c>
    </row>
    <row r="19">
      <c r="A19" s="5" t="inlineStr">
        <is>
          <t>成本类别</t>
        </is>
      </c>
      <c r="B19" s="5" t="inlineStr">
        <is>
          <t>归集时点</t>
        </is>
      </c>
      <c r="C19" s="5" t="inlineStr">
        <is>
          <t>说明</t>
        </is>
      </c>
    </row>
    <row r="20">
      <c r="A20" s="6" t="inlineStr">
        <is>
          <t>采购材料</t>
        </is>
      </c>
      <c r="B20" s="6" t="inlineStr">
        <is>
          <t>入库时</t>
        </is>
      </c>
      <c r="C20" s="6" t="inlineStr">
        <is>
          <t>采购入库时按入库单价归集</t>
        </is>
      </c>
    </row>
    <row r="21">
      <c r="A21" s="7" t="inlineStr">
        <is>
          <t>领用材料</t>
        </is>
      </c>
      <c r="B21" s="7" t="inlineStr">
        <is>
          <t>领料时</t>
        </is>
      </c>
      <c r="C21" s="7" t="inlineStr">
        <is>
          <t>领料时按移动加权平均价归集</t>
        </is>
      </c>
    </row>
    <row r="22">
      <c r="A22" s="6" t="inlineStr">
        <is>
          <t>生产人工</t>
        </is>
      </c>
      <c r="B22" s="6" t="inlineStr">
        <is>
          <t>报工时</t>
        </is>
      </c>
      <c r="C22" s="6" t="inlineStr">
        <is>
          <t>每日报工时按工时单价归集</t>
        </is>
      </c>
    </row>
    <row r="23">
      <c r="A23" s="7" t="inlineStr">
        <is>
          <t>外协费用</t>
        </is>
      </c>
      <c r="B23" s="7" t="inlineStr">
        <is>
          <t>入库/验收时</t>
        </is>
      </c>
      <c r="C23" s="7" t="inlineStr">
        <is>
          <t>外协件入库或服务验收时归集</t>
        </is>
      </c>
    </row>
    <row r="24">
      <c r="A24" s="6" t="inlineStr">
        <is>
          <t>差旅费用</t>
        </is>
      </c>
      <c r="B24" s="6" t="inlineStr">
        <is>
          <t>报销审批后</t>
        </is>
      </c>
      <c r="C24" s="6" t="inlineStr">
        <is>
          <t>费用报销审批通过后归集</t>
        </is>
      </c>
    </row>
    <row r="25">
      <c r="A25" s="7" t="inlineStr">
        <is>
          <t>其他费用</t>
        </is>
      </c>
      <c r="B25" s="7" t="inlineStr">
        <is>
          <t>发生时/报销后</t>
        </is>
      </c>
      <c r="C25" s="7" t="inlineStr">
        <is>
          <t>按实际发生归集</t>
        </is>
      </c>
    </row>
    <row r="28" ht="25" customHeight="1">
      <c r="A28" s="3" t="inlineStr">
        <is>
          <t>三、项目成本台账</t>
        </is>
      </c>
    </row>
    <row r="29">
      <c r="A29" s="5" t="inlineStr">
        <is>
          <t>字段</t>
        </is>
      </c>
      <c r="B29" s="5" t="inlineStr">
        <is>
          <t>说明</t>
        </is>
      </c>
      <c r="C29" s="5" t="inlineStr">
        <is>
          <t>来源</t>
        </is>
      </c>
    </row>
    <row r="30">
      <c r="A30" s="6" t="inlineStr">
        <is>
          <t>项目编号</t>
        </is>
      </c>
      <c r="B30" s="6" t="inlineStr">
        <is>
          <t>成本归属的项目</t>
        </is>
      </c>
      <c r="C30" s="6" t="inlineStr">
        <is>
          <t>项目管理</t>
        </is>
      </c>
    </row>
    <row r="31">
      <c r="A31" s="7" t="inlineStr">
        <is>
          <t>成本类别</t>
        </is>
      </c>
      <c r="B31" s="7" t="inlineStr">
        <is>
          <t>材料/人工/外协/其他</t>
        </is>
      </c>
      <c r="C31" s="7" t="inlineStr">
        <is>
          <t>系统分类</t>
        </is>
      </c>
    </row>
    <row r="32">
      <c r="A32" s="6" t="inlineStr">
        <is>
          <t>成本细项</t>
        </is>
      </c>
      <c r="B32" s="6" t="inlineStr">
        <is>
          <t>具体的成本项</t>
        </is>
      </c>
      <c r="C32" s="6" t="inlineStr">
        <is>
          <t>单据明细</t>
        </is>
      </c>
    </row>
    <row r="33">
      <c r="A33" s="7" t="inlineStr">
        <is>
          <t>发生日期</t>
        </is>
      </c>
      <c r="B33" s="7" t="inlineStr">
        <is>
          <t>成本发生日期</t>
        </is>
      </c>
      <c r="C33" s="7" t="inlineStr">
        <is>
          <t>单据日期</t>
        </is>
      </c>
    </row>
    <row r="34">
      <c r="A34" s="6" t="inlineStr">
        <is>
          <t>单据编号</t>
        </is>
      </c>
      <c r="B34" s="6" t="inlineStr">
        <is>
          <t>原始单据编号</t>
        </is>
      </c>
      <c r="C34" s="6" t="inlineStr">
        <is>
          <t>各系统单据</t>
        </is>
      </c>
    </row>
    <row r="35">
      <c r="A35" s="7" t="inlineStr">
        <is>
          <t>摘要</t>
        </is>
      </c>
      <c r="B35" s="7" t="inlineStr">
        <is>
          <t>成本说明</t>
        </is>
      </c>
      <c r="C35" s="7" t="inlineStr">
        <is>
          <t>单据摘要</t>
        </is>
      </c>
    </row>
    <row r="36">
      <c r="A36" s="6" t="inlineStr">
        <is>
          <t>数量</t>
        </is>
      </c>
      <c r="B36" s="6" t="inlineStr">
        <is>
          <t>数量</t>
        </is>
      </c>
      <c r="C36" s="6" t="inlineStr">
        <is>
          <t>单据数量</t>
        </is>
      </c>
    </row>
    <row r="37">
      <c r="A37" s="7" t="inlineStr">
        <is>
          <t>单价</t>
        </is>
      </c>
      <c r="B37" s="7" t="inlineStr">
        <is>
          <t>单价</t>
        </is>
      </c>
      <c r="C37" s="7" t="inlineStr">
        <is>
          <t>单据单价</t>
        </is>
      </c>
    </row>
    <row r="38">
      <c r="A38" s="6" t="inlineStr">
        <is>
          <t>金额</t>
        </is>
      </c>
      <c r="B38" s="6" t="inlineStr">
        <is>
          <t>成本金额</t>
        </is>
      </c>
      <c r="C38" s="6" t="inlineStr">
        <is>
          <t>数量×单价</t>
        </is>
      </c>
    </row>
    <row r="39">
      <c r="A39" s="7" t="inlineStr">
        <is>
          <t>供应商/人员</t>
        </is>
      </c>
      <c r="B39" s="7" t="inlineStr">
        <is>
          <t>成本对象</t>
        </is>
      </c>
      <c r="C39" s="7" t="inlineStr">
        <is>
          <t>单据信息</t>
        </is>
      </c>
    </row>
    <row r="40">
      <c r="A40" s="6" t="inlineStr">
        <is>
          <t>归集人</t>
        </is>
      </c>
      <c r="B40" s="6" t="inlineStr">
        <is>
          <t>归集操作人</t>
        </is>
      </c>
      <c r="C40" s="6" t="inlineStr">
        <is>
          <t>系统自动/手工</t>
        </is>
      </c>
    </row>
    <row r="41">
      <c r="A41" s="7" t="inlineStr">
        <is>
          <t>归集时间</t>
        </is>
      </c>
      <c r="B41" s="7" t="inlineStr">
        <is>
          <t>归集时间</t>
        </is>
      </c>
      <c r="C41" s="7" t="inlineStr">
        <is>
          <t>系统时间</t>
        </is>
      </c>
    </row>
  </sheetData>
  <mergeCells count="4">
    <mergeCell ref="A28:E28"/>
    <mergeCell ref="A1:E1"/>
    <mergeCell ref="A18:E18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成本分析报表设计</t>
        </is>
      </c>
    </row>
    <row r="3" ht="25" customHeight="1">
      <c r="A3" s="3" t="inlineStr">
        <is>
          <t>一、成本分析报表清单</t>
        </is>
      </c>
    </row>
    <row r="4">
      <c r="A4" s="5" t="inlineStr">
        <is>
          <t>序号</t>
        </is>
      </c>
      <c r="B4" s="5" t="inlineStr">
        <is>
          <t>报表名称</t>
        </is>
      </c>
      <c r="C4" s="5" t="inlineStr">
        <is>
          <t>主要内容</t>
        </is>
      </c>
      <c r="D4" s="5" t="inlineStr">
        <is>
          <t>使用场景</t>
        </is>
      </c>
      <c r="E4" s="5" t="inlineStr">
        <is>
          <t>生成频率</t>
        </is>
      </c>
    </row>
    <row r="5">
      <c r="A5" s="7" t="inlineStr">
        <is>
          <t>1</t>
        </is>
      </c>
      <c r="B5" s="7" t="inlineStr">
        <is>
          <t>项目成本明细表</t>
        </is>
      </c>
      <c r="C5" s="7" t="inlineStr">
        <is>
          <t>单项目各类成本明细</t>
        </is>
      </c>
      <c r="D5" s="7" t="inlineStr">
        <is>
          <t>项目成本追溯</t>
        </is>
      </c>
      <c r="E5" s="7" t="inlineStr">
        <is>
          <t>按需</t>
        </is>
      </c>
    </row>
    <row r="6">
      <c r="A6" s="6" t="inlineStr">
        <is>
          <t>2</t>
        </is>
      </c>
      <c r="B6" s="6" t="inlineStr">
        <is>
          <t>项目成本汇总表</t>
        </is>
      </c>
      <c r="C6" s="6" t="inlineStr">
        <is>
          <t>单项目成本汇总，预算vs实际</t>
        </is>
      </c>
      <c r="D6" s="6" t="inlineStr">
        <is>
          <t>项目成本监控</t>
        </is>
      </c>
      <c r="E6" s="6" t="inlineStr">
        <is>
          <t>周/月</t>
        </is>
      </c>
    </row>
    <row r="7">
      <c r="A7" s="7" t="inlineStr">
        <is>
          <t>3</t>
        </is>
      </c>
      <c r="B7" s="7" t="inlineStr">
        <is>
          <t>项目毛利分析表</t>
        </is>
      </c>
      <c r="C7" s="7" t="inlineStr">
        <is>
          <t>项目收入、成本、毛利</t>
        </is>
      </c>
      <c r="D7" s="7" t="inlineStr">
        <is>
          <t>项目盈利分析</t>
        </is>
      </c>
      <c r="E7" s="7" t="inlineStr">
        <is>
          <t>项目结束时</t>
        </is>
      </c>
    </row>
    <row r="8">
      <c r="A8" s="6" t="inlineStr">
        <is>
          <t>4</t>
        </is>
      </c>
      <c r="B8" s="6" t="inlineStr">
        <is>
          <t>成本超支预警表</t>
        </is>
      </c>
      <c r="C8" s="6" t="inlineStr">
        <is>
          <t>超预算项目清单</t>
        </is>
      </c>
      <c r="D8" s="6" t="inlineStr">
        <is>
          <t>成本风险监控</t>
        </is>
      </c>
      <c r="E8" s="6" t="inlineStr">
        <is>
          <t>实时/周</t>
        </is>
      </c>
    </row>
    <row r="9">
      <c r="A9" s="7" t="inlineStr">
        <is>
          <t>5</t>
        </is>
      </c>
      <c r="B9" s="7" t="inlineStr">
        <is>
          <t>客户毛利分析表</t>
        </is>
      </c>
      <c r="C9" s="7" t="inlineStr">
        <is>
          <t>按客户汇总毛利</t>
        </is>
      </c>
      <c r="D9" s="7" t="inlineStr">
        <is>
          <t>客户价值分析</t>
        </is>
      </c>
      <c r="E9" s="7" t="inlineStr">
        <is>
          <t>月/季</t>
        </is>
      </c>
    </row>
    <row r="10">
      <c r="A10" s="6" t="inlineStr">
        <is>
          <t>6</t>
        </is>
      </c>
      <c r="B10" s="6" t="inlineStr">
        <is>
          <t>产品线毛利分析</t>
        </is>
      </c>
      <c r="C10" s="6" t="inlineStr">
        <is>
          <t>按产品线/设备类型毛利</t>
        </is>
      </c>
      <c r="D10" s="6" t="inlineStr">
        <is>
          <t>产品策略分析</t>
        </is>
      </c>
      <c r="E10" s="6" t="inlineStr">
        <is>
          <t>月/季</t>
        </is>
      </c>
    </row>
    <row r="11">
      <c r="A11" s="7" t="inlineStr">
        <is>
          <t>7</t>
        </is>
      </c>
      <c r="B11" s="7" t="inlineStr">
        <is>
          <t>成本构成分析</t>
        </is>
      </c>
      <c r="C11" s="7" t="inlineStr">
        <is>
          <t>各类成本占比分析</t>
        </is>
      </c>
      <c r="D11" s="7" t="inlineStr">
        <is>
          <t>成本结构优化</t>
        </is>
      </c>
      <c r="E11" s="7" t="inlineStr">
        <is>
          <t>月/季</t>
        </is>
      </c>
    </row>
    <row r="12">
      <c r="A12" s="6" t="inlineStr">
        <is>
          <t>8</t>
        </is>
      </c>
      <c r="B12" s="6" t="inlineStr">
        <is>
          <t>工时效率分析</t>
        </is>
      </c>
      <c r="C12" s="6" t="inlineStr">
        <is>
          <t>实际工时vs标准工时</t>
        </is>
      </c>
      <c r="D12" s="6" t="inlineStr">
        <is>
          <t>效率改进</t>
        </is>
      </c>
      <c r="E12" s="6" t="inlineStr">
        <is>
          <t>月</t>
        </is>
      </c>
    </row>
    <row r="13">
      <c r="A13" s="7" t="inlineStr">
        <is>
          <t>9</t>
        </is>
      </c>
      <c r="B13" s="7" t="inlineStr">
        <is>
          <t>材料成本分析</t>
        </is>
      </c>
      <c r="C13" s="7" t="inlineStr">
        <is>
          <t>材料成本占比、趋势</t>
        </is>
      </c>
      <c r="D13" s="7" t="inlineStr">
        <is>
          <t>采购优化</t>
        </is>
      </c>
      <c r="E13" s="7" t="inlineStr">
        <is>
          <t>月</t>
        </is>
      </c>
    </row>
    <row r="14">
      <c r="A14" s="6" t="inlineStr">
        <is>
          <t>10</t>
        </is>
      </c>
      <c r="B14" s="6" t="inlineStr">
        <is>
          <t>报价准确率分析</t>
        </is>
      </c>
      <c r="C14" s="6" t="inlineStr">
        <is>
          <t>报价成本vs实际成本</t>
        </is>
      </c>
      <c r="D14" s="6" t="inlineStr">
        <is>
          <t>报价能力提升</t>
        </is>
      </c>
      <c r="E14" s="6" t="inlineStr">
        <is>
          <t>季</t>
        </is>
      </c>
    </row>
    <row r="17" ht="25" customHeight="1">
      <c r="A17" s="3" t="inlineStr">
        <is>
          <t>二、项目成本汇总表模板</t>
        </is>
      </c>
    </row>
    <row r="18">
      <c r="A18" s="5" t="inlineStr">
        <is>
          <t>成本类别</t>
        </is>
      </c>
      <c r="B18" s="5" t="inlineStr">
        <is>
          <t>预算金额</t>
        </is>
      </c>
      <c r="C18" s="5" t="inlineStr">
        <is>
          <t>实际金额</t>
        </is>
      </c>
      <c r="D18" s="5" t="inlineStr">
        <is>
          <t>差异</t>
        </is>
      </c>
      <c r="E18" s="5" t="inlineStr">
        <is>
          <t>差异率</t>
        </is>
      </c>
    </row>
    <row r="19">
      <c r="A19" s="7" t="inlineStr">
        <is>
          <t>一、材料成本</t>
        </is>
      </c>
      <c r="B19" s="7" t="inlineStr"/>
      <c r="C19" s="7" t="inlineStr"/>
      <c r="D19" s="7" t="inlineStr"/>
      <c r="E19" s="7" t="inlineStr"/>
    </row>
    <row r="20">
      <c r="A20" s="7" t="inlineStr">
        <is>
          <t xml:space="preserve">  外购件</t>
        </is>
      </c>
      <c r="B20" s="7" t="inlineStr">
        <is>
          <t>500,000</t>
        </is>
      </c>
      <c r="C20" s="7" t="inlineStr">
        <is>
          <t>520,000</t>
        </is>
      </c>
      <c r="D20" s="7" t="inlineStr">
        <is>
          <t>-20,000</t>
        </is>
      </c>
      <c r="E20" s="7" t="inlineStr">
        <is>
          <t>-4.0%</t>
        </is>
      </c>
    </row>
    <row r="21">
      <c r="A21" s="7" t="inlineStr">
        <is>
          <t xml:space="preserve">  加工件</t>
        </is>
      </c>
      <c r="B21" s="7" t="inlineStr">
        <is>
          <t>200,000</t>
        </is>
      </c>
      <c r="C21" s="7" t="inlineStr">
        <is>
          <t>210,000</t>
        </is>
      </c>
      <c r="D21" s="7" t="inlineStr">
        <is>
          <t>-10,000</t>
        </is>
      </c>
      <c r="E21" s="7" t="inlineStr">
        <is>
          <t>-5.0%</t>
        </is>
      </c>
    </row>
    <row r="22">
      <c r="A22" s="7" t="inlineStr">
        <is>
          <t xml:space="preserve">  钣金件</t>
        </is>
      </c>
      <c r="B22" s="7" t="inlineStr">
        <is>
          <t>80,000</t>
        </is>
      </c>
      <c r="C22" s="7" t="inlineStr">
        <is>
          <t>75,000</t>
        </is>
      </c>
      <c r="D22" s="7" t="inlineStr">
        <is>
          <t>5,000</t>
        </is>
      </c>
      <c r="E22" s="7" t="inlineStr">
        <is>
          <t>6.3%</t>
        </is>
      </c>
    </row>
    <row r="23">
      <c r="A23" s="7" t="inlineStr">
        <is>
          <t xml:space="preserve">  标准件</t>
        </is>
      </c>
      <c r="B23" s="7" t="inlineStr">
        <is>
          <t>20,000</t>
        </is>
      </c>
      <c r="C23" s="7" t="inlineStr">
        <is>
          <t>22,000</t>
        </is>
      </c>
      <c r="D23" s="7" t="inlineStr">
        <is>
          <t>-2,000</t>
        </is>
      </c>
      <c r="E23" s="7" t="inlineStr">
        <is>
          <t>-10.0%</t>
        </is>
      </c>
    </row>
    <row r="24">
      <c r="A24" s="15" t="inlineStr">
        <is>
          <t xml:space="preserve">  材料小计</t>
        </is>
      </c>
      <c r="B24" s="9" t="inlineStr">
        <is>
          <t>800,000</t>
        </is>
      </c>
      <c r="C24" s="9" t="inlineStr">
        <is>
          <t>827,000</t>
        </is>
      </c>
      <c r="D24" s="9" t="inlineStr">
        <is>
          <t>-27,000</t>
        </is>
      </c>
      <c r="E24" s="9" t="inlineStr">
        <is>
          <t>-3.4%</t>
        </is>
      </c>
    </row>
    <row r="25">
      <c r="A25" s="7" t="inlineStr">
        <is>
          <t>二、人工成本</t>
        </is>
      </c>
      <c r="B25" s="7" t="inlineStr"/>
      <c r="C25" s="7" t="inlineStr"/>
      <c r="D25" s="7" t="inlineStr"/>
      <c r="E25" s="7" t="inlineStr"/>
    </row>
    <row r="26">
      <c r="A26" s="7" t="inlineStr">
        <is>
          <t xml:space="preserve">  设计工时</t>
        </is>
      </c>
      <c r="B26" s="7" t="inlineStr">
        <is>
          <t>120,000</t>
        </is>
      </c>
      <c r="C26" s="7" t="inlineStr">
        <is>
          <t>135,000</t>
        </is>
      </c>
      <c r="D26" s="7" t="inlineStr">
        <is>
          <t>-15,000</t>
        </is>
      </c>
      <c r="E26" s="7" t="inlineStr">
        <is>
          <t>-12.5%</t>
        </is>
      </c>
    </row>
    <row r="27">
      <c r="A27" s="7" t="inlineStr">
        <is>
          <t xml:space="preserve">  装配工时</t>
        </is>
      </c>
      <c r="B27" s="7" t="inlineStr">
        <is>
          <t>60,000</t>
        </is>
      </c>
      <c r="C27" s="7" t="inlineStr">
        <is>
          <t>58,000</t>
        </is>
      </c>
      <c r="D27" s="7" t="inlineStr">
        <is>
          <t>2,000</t>
        </is>
      </c>
      <c r="E27" s="7" t="inlineStr">
        <is>
          <t>3.3%</t>
        </is>
      </c>
    </row>
    <row r="28">
      <c r="A28" s="7" t="inlineStr">
        <is>
          <t xml:space="preserve">  调试工时</t>
        </is>
      </c>
      <c r="B28" s="7" t="inlineStr">
        <is>
          <t>80,000</t>
        </is>
      </c>
      <c r="C28" s="7" t="inlineStr">
        <is>
          <t>95,000</t>
        </is>
      </c>
      <c r="D28" s="7" t="inlineStr">
        <is>
          <t>-15,000</t>
        </is>
      </c>
      <c r="E28" s="7" t="inlineStr">
        <is>
          <t>-18.8%</t>
        </is>
      </c>
    </row>
    <row r="29">
      <c r="A29" s="15" t="inlineStr">
        <is>
          <t xml:space="preserve">  人工小计</t>
        </is>
      </c>
      <c r="B29" s="9" t="inlineStr">
        <is>
          <t>260,000</t>
        </is>
      </c>
      <c r="C29" s="9" t="inlineStr">
        <is>
          <t>288,000</t>
        </is>
      </c>
      <c r="D29" s="9" t="inlineStr">
        <is>
          <t>-28,000</t>
        </is>
      </c>
      <c r="E29" s="9" t="inlineStr">
        <is>
          <t>-10.8%</t>
        </is>
      </c>
    </row>
    <row r="30">
      <c r="A30" s="7" t="inlineStr">
        <is>
          <t>三、外协成本</t>
        </is>
      </c>
      <c r="B30" s="7" t="inlineStr">
        <is>
          <t>100,000</t>
        </is>
      </c>
      <c r="C30" s="7" t="inlineStr">
        <is>
          <t>105,000</t>
        </is>
      </c>
      <c r="D30" s="7" t="inlineStr">
        <is>
          <t>-5,000</t>
        </is>
      </c>
      <c r="E30" s="7" t="inlineStr">
        <is>
          <t>-5.0%</t>
        </is>
      </c>
    </row>
    <row r="31">
      <c r="A31" s="7" t="inlineStr">
        <is>
          <t>四、其他费用</t>
        </is>
      </c>
      <c r="B31" s="7" t="inlineStr">
        <is>
          <t>80,000</t>
        </is>
      </c>
      <c r="C31" s="7" t="inlineStr">
        <is>
          <t>72,000</t>
        </is>
      </c>
      <c r="D31" s="7" t="inlineStr">
        <is>
          <t>8,000</t>
        </is>
      </c>
      <c r="E31" s="7" t="inlineStr">
        <is>
          <t>10.0%</t>
        </is>
      </c>
    </row>
    <row r="32">
      <c r="A32" s="15" t="inlineStr">
        <is>
          <t>五、成本合计</t>
        </is>
      </c>
      <c r="B32" s="9" t="inlineStr">
        <is>
          <t>1,240,000</t>
        </is>
      </c>
      <c r="C32" s="9" t="inlineStr">
        <is>
          <t>1,292,000</t>
        </is>
      </c>
      <c r="D32" s="9" t="inlineStr">
        <is>
          <t>-52,000</t>
        </is>
      </c>
      <c r="E32" s="9" t="inlineStr">
        <is>
          <t>-4.2%</t>
        </is>
      </c>
    </row>
    <row r="33">
      <c r="A33" s="7" t="inlineStr">
        <is>
          <t>六、合同金额</t>
        </is>
      </c>
      <c r="B33" s="7" t="inlineStr">
        <is>
          <t>1,600,000</t>
        </is>
      </c>
      <c r="C33" s="7" t="inlineStr">
        <is>
          <t>1,600,000</t>
        </is>
      </c>
      <c r="D33" s="7" t="inlineStr"/>
      <c r="E33" s="7" t="inlineStr"/>
    </row>
    <row r="34">
      <c r="A34" s="7" t="inlineStr">
        <is>
          <t>七、毛利</t>
        </is>
      </c>
      <c r="B34" s="7" t="inlineStr">
        <is>
          <t>360,000</t>
        </is>
      </c>
      <c r="C34" s="7" t="inlineStr">
        <is>
          <t>308,000</t>
        </is>
      </c>
      <c r="D34" s="7" t="inlineStr">
        <is>
          <t>-52,000</t>
        </is>
      </c>
      <c r="E34" s="7" t="inlineStr">
        <is>
          <t>-14.4%</t>
        </is>
      </c>
    </row>
    <row r="35">
      <c r="A35" s="16" t="inlineStr">
        <is>
          <t>八、毛利率</t>
        </is>
      </c>
      <c r="B35" s="13" t="inlineStr">
        <is>
          <t>22.5%</t>
        </is>
      </c>
      <c r="C35" s="13" t="inlineStr">
        <is>
          <t>19.3%</t>
        </is>
      </c>
      <c r="D35" s="13" t="inlineStr">
        <is>
          <t>-3.2%</t>
        </is>
      </c>
      <c r="E35" s="13" t="inlineStr"/>
    </row>
  </sheetData>
  <mergeCells count="3">
    <mergeCell ref="A1:E1"/>
    <mergeCell ref="A17:E17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报价成本数据模型设计</t>
        </is>
      </c>
    </row>
    <row r="3" ht="25" customHeight="1">
      <c r="A3" s="3" t="inlineStr">
        <is>
          <t>一、报价单主表 (t_quotation)</t>
        </is>
      </c>
    </row>
    <row r="4">
      <c r="A4" s="5" t="inlineStr">
        <is>
          <t>序号</t>
        </is>
      </c>
      <c r="B4" s="5" t="inlineStr">
        <is>
          <t>字段名</t>
        </is>
      </c>
      <c r="C4" s="5" t="inlineStr">
        <is>
          <t>类型</t>
        </is>
      </c>
      <c r="D4" s="5" t="inlineStr">
        <is>
          <t>必填</t>
        </is>
      </c>
      <c r="E4" s="5" t="inlineStr">
        <is>
          <t>说明</t>
        </is>
      </c>
    </row>
    <row r="5">
      <c r="A5" s="7" t="inlineStr">
        <is>
          <t>1</t>
        </is>
      </c>
      <c r="B5" s="7" t="inlineStr">
        <is>
          <t>id</t>
        </is>
      </c>
      <c r="C5" s="7" t="inlineStr">
        <is>
          <t>BIGINT</t>
        </is>
      </c>
      <c r="D5" s="7" t="inlineStr">
        <is>
          <t>是</t>
        </is>
      </c>
      <c r="E5" s="7" t="inlineStr">
        <is>
          <t>主键</t>
        </is>
      </c>
    </row>
    <row r="6">
      <c r="A6" s="6" t="inlineStr">
        <is>
          <t>2</t>
        </is>
      </c>
      <c r="B6" s="6" t="inlineStr">
        <is>
          <t>quote_no</t>
        </is>
      </c>
      <c r="C6" s="6" t="inlineStr">
        <is>
          <t>VARCHAR(50)</t>
        </is>
      </c>
      <c r="D6" s="6" t="inlineStr">
        <is>
          <t>是</t>
        </is>
      </c>
      <c r="E6" s="6" t="inlineStr">
        <is>
          <t>报价单号：QT-202501-0001</t>
        </is>
      </c>
    </row>
    <row r="7">
      <c r="A7" s="7" t="inlineStr">
        <is>
          <t>3</t>
        </is>
      </c>
      <c r="B7" s="7" t="inlineStr">
        <is>
          <t>quote_name</t>
        </is>
      </c>
      <c r="C7" s="7" t="inlineStr">
        <is>
          <t>VARCHAR(200)</t>
        </is>
      </c>
      <c r="D7" s="7" t="inlineStr">
        <is>
          <t>是</t>
        </is>
      </c>
      <c r="E7" s="7" t="inlineStr">
        <is>
          <t>报价名称</t>
        </is>
      </c>
    </row>
    <row r="8">
      <c r="A8" s="6" t="inlineStr">
        <is>
          <t>4</t>
        </is>
      </c>
      <c r="B8" s="6" t="inlineStr">
        <is>
          <t>version</t>
        </is>
      </c>
      <c r="C8" s="6" t="inlineStr">
        <is>
          <t>VARCHAR(20)</t>
        </is>
      </c>
      <c r="D8" s="6" t="inlineStr">
        <is>
          <t>是</t>
        </is>
      </c>
      <c r="E8" s="6" t="inlineStr">
        <is>
          <t>版本号：V1.0</t>
        </is>
      </c>
    </row>
    <row r="9">
      <c r="A9" s="7" t="inlineStr">
        <is>
          <t>5</t>
        </is>
      </c>
      <c r="B9" s="7" t="inlineStr">
        <is>
          <t>customer_id</t>
        </is>
      </c>
      <c r="C9" s="7" t="inlineStr">
        <is>
          <t>BIGINT</t>
        </is>
      </c>
      <c r="D9" s="7" t="inlineStr">
        <is>
          <t>是</t>
        </is>
      </c>
      <c r="E9" s="7" t="inlineStr">
        <is>
          <t>客户ID</t>
        </is>
      </c>
    </row>
    <row r="10">
      <c r="A10" s="6" t="inlineStr">
        <is>
          <t>6</t>
        </is>
      </c>
      <c r="B10" s="6" t="inlineStr">
        <is>
          <t>opportunity_id</t>
        </is>
      </c>
      <c r="C10" s="6" t="inlineStr">
        <is>
          <t>BIGINT</t>
        </is>
      </c>
      <c r="D10" s="6" t="inlineStr">
        <is>
          <t>否</t>
        </is>
      </c>
      <c r="E10" s="6" t="inlineStr">
        <is>
          <t>商机ID</t>
        </is>
      </c>
    </row>
    <row r="11">
      <c r="A11" s="7" t="inlineStr">
        <is>
          <t>7</t>
        </is>
      </c>
      <c r="B11" s="7" t="inlineStr">
        <is>
          <t>project_id</t>
        </is>
      </c>
      <c r="C11" s="7" t="inlineStr">
        <is>
          <t>BIGINT</t>
        </is>
      </c>
      <c r="D11" s="7" t="inlineStr">
        <is>
          <t>否</t>
        </is>
      </c>
      <c r="E11" s="7" t="inlineStr">
        <is>
          <t>项目ID（中标后关联）</t>
        </is>
      </c>
    </row>
    <row r="12">
      <c r="A12" s="6" t="inlineStr">
        <is>
          <t>8</t>
        </is>
      </c>
      <c r="B12" s="6" t="inlineStr">
        <is>
          <t>quote_type</t>
        </is>
      </c>
      <c r="C12" s="6" t="inlineStr">
        <is>
          <t>ENUM</t>
        </is>
      </c>
      <c r="D12" s="6" t="inlineStr">
        <is>
          <t>是</t>
        </is>
      </c>
      <c r="E12" s="6" t="inlineStr">
        <is>
          <t>报价类型：new/change/supplement</t>
        </is>
      </c>
    </row>
    <row r="13">
      <c r="A13" s="7" t="inlineStr">
        <is>
          <t>9</t>
        </is>
      </c>
      <c r="B13" s="7" t="inlineStr">
        <is>
          <t>status</t>
        </is>
      </c>
      <c r="C13" s="7" t="inlineStr">
        <is>
          <t>ENUM</t>
        </is>
      </c>
      <c r="D13" s="7" t="inlineStr">
        <is>
          <t>是</t>
        </is>
      </c>
      <c r="E13" s="7" t="inlineStr">
        <is>
          <t>状态：draft/submitted/approved/rejected/won/lost</t>
        </is>
      </c>
    </row>
    <row r="14">
      <c r="A14" s="6" t="inlineStr">
        <is>
          <t>10</t>
        </is>
      </c>
      <c r="B14" s="6" t="inlineStr">
        <is>
          <t>material_cost</t>
        </is>
      </c>
      <c r="C14" s="6" t="inlineStr">
        <is>
          <t>DECIMAL(15,2)</t>
        </is>
      </c>
      <c r="D14" s="6" t="inlineStr">
        <is>
          <t>是</t>
        </is>
      </c>
      <c r="E14" s="6" t="inlineStr">
        <is>
          <t>材料成本</t>
        </is>
      </c>
    </row>
    <row r="15">
      <c r="A15" s="7" t="inlineStr">
        <is>
          <t>11</t>
        </is>
      </c>
      <c r="B15" s="7" t="inlineStr">
        <is>
          <t>labor_cost</t>
        </is>
      </c>
      <c r="C15" s="7" t="inlineStr">
        <is>
          <t>DECIMAL(15,2)</t>
        </is>
      </c>
      <c r="D15" s="7" t="inlineStr">
        <is>
          <t>是</t>
        </is>
      </c>
      <c r="E15" s="7" t="inlineStr">
        <is>
          <t>人工成本</t>
        </is>
      </c>
    </row>
    <row r="16">
      <c r="A16" s="6" t="inlineStr">
        <is>
          <t>12</t>
        </is>
      </c>
      <c r="B16" s="6" t="inlineStr">
        <is>
          <t>outsource_cost</t>
        </is>
      </c>
      <c r="C16" s="6" t="inlineStr">
        <is>
          <t>DECIMAL(15,2)</t>
        </is>
      </c>
      <c r="D16" s="6" t="inlineStr">
        <is>
          <t>是</t>
        </is>
      </c>
      <c r="E16" s="6" t="inlineStr">
        <is>
          <t>外协成本</t>
        </is>
      </c>
    </row>
    <row r="17">
      <c r="A17" s="7" t="inlineStr">
        <is>
          <t>13</t>
        </is>
      </c>
      <c r="B17" s="7" t="inlineStr">
        <is>
          <t>other_cost</t>
        </is>
      </c>
      <c r="C17" s="7" t="inlineStr">
        <is>
          <t>DECIMAL(15,2)</t>
        </is>
      </c>
      <c r="D17" s="7" t="inlineStr">
        <is>
          <t>是</t>
        </is>
      </c>
      <c r="E17" s="7" t="inlineStr">
        <is>
          <t>其他费用</t>
        </is>
      </c>
    </row>
    <row r="18">
      <c r="A18" s="6" t="inlineStr">
        <is>
          <t>14</t>
        </is>
      </c>
      <c r="B18" s="6" t="inlineStr">
        <is>
          <t>risk_reserve</t>
        </is>
      </c>
      <c r="C18" s="6" t="inlineStr">
        <is>
          <t>DECIMAL(15,2)</t>
        </is>
      </c>
      <c r="D18" s="6" t="inlineStr">
        <is>
          <t>是</t>
        </is>
      </c>
      <c r="E18" s="6" t="inlineStr">
        <is>
          <t>风险预备</t>
        </is>
      </c>
    </row>
    <row r="19">
      <c r="A19" s="7" t="inlineStr">
        <is>
          <t>15</t>
        </is>
      </c>
      <c r="B19" s="7" t="inlineStr">
        <is>
          <t>total_cost</t>
        </is>
      </c>
      <c r="C19" s="7" t="inlineStr">
        <is>
          <t>DECIMAL(15,2)</t>
        </is>
      </c>
      <c r="D19" s="7" t="inlineStr">
        <is>
          <t>是</t>
        </is>
      </c>
      <c r="E19" s="7" t="inlineStr">
        <is>
          <t>总成本</t>
        </is>
      </c>
    </row>
    <row r="20">
      <c r="A20" s="6" t="inlineStr">
        <is>
          <t>16</t>
        </is>
      </c>
      <c r="B20" s="6" t="inlineStr">
        <is>
          <t>target_margin_rate</t>
        </is>
      </c>
      <c r="C20" s="6" t="inlineStr">
        <is>
          <t>DECIMAL(5,2)</t>
        </is>
      </c>
      <c r="D20" s="6" t="inlineStr">
        <is>
          <t>是</t>
        </is>
      </c>
      <c r="E20" s="6" t="inlineStr">
        <is>
          <t>目标毛利率%</t>
        </is>
      </c>
    </row>
    <row r="21">
      <c r="A21" s="7" t="inlineStr">
        <is>
          <t>17</t>
        </is>
      </c>
      <c r="B21" s="7" t="inlineStr">
        <is>
          <t>quote_amount</t>
        </is>
      </c>
      <c r="C21" s="7" t="inlineStr">
        <is>
          <t>DECIMAL(15,2)</t>
        </is>
      </c>
      <c r="D21" s="7" t="inlineStr">
        <is>
          <t>是</t>
        </is>
      </c>
      <c r="E21" s="7" t="inlineStr">
        <is>
          <t>报价金额（含税）</t>
        </is>
      </c>
    </row>
    <row r="22">
      <c r="A22" s="6" t="inlineStr">
        <is>
          <t>18</t>
        </is>
      </c>
      <c r="B22" s="6" t="inlineStr">
        <is>
          <t>quote_amount_excl</t>
        </is>
      </c>
      <c r="C22" s="6" t="inlineStr">
        <is>
          <t>DECIMAL(15,2)</t>
        </is>
      </c>
      <c r="D22" s="6" t="inlineStr">
        <is>
          <t>是</t>
        </is>
      </c>
      <c r="E22" s="6" t="inlineStr">
        <is>
          <t>报价金额（不含税）</t>
        </is>
      </c>
    </row>
    <row r="23">
      <c r="A23" s="7" t="inlineStr">
        <is>
          <t>19</t>
        </is>
      </c>
      <c r="B23" s="7" t="inlineStr">
        <is>
          <t>actual_margin_rate</t>
        </is>
      </c>
      <c r="C23" s="7" t="inlineStr">
        <is>
          <t>DECIMAL(5,2)</t>
        </is>
      </c>
      <c r="D23" s="7" t="inlineStr">
        <is>
          <t>是</t>
        </is>
      </c>
      <c r="E23" s="7" t="inlineStr">
        <is>
          <t>实际毛利率%</t>
        </is>
      </c>
    </row>
    <row r="24">
      <c r="A24" s="6" t="inlineStr">
        <is>
          <t>20</t>
        </is>
      </c>
      <c r="B24" s="6" t="inlineStr">
        <is>
          <t>tax_rate</t>
        </is>
      </c>
      <c r="C24" s="6" t="inlineStr">
        <is>
          <t>DECIMAL(5,2)</t>
        </is>
      </c>
      <c r="D24" s="6" t="inlineStr">
        <is>
          <t>是</t>
        </is>
      </c>
      <c r="E24" s="6" t="inlineStr">
        <is>
          <t>税率</t>
        </is>
      </c>
    </row>
    <row r="25">
      <c r="A25" s="7" t="inlineStr">
        <is>
          <t>21</t>
        </is>
      </c>
      <c r="B25" s="7" t="inlineStr">
        <is>
          <t>currency</t>
        </is>
      </c>
      <c r="C25" s="7" t="inlineStr">
        <is>
          <t>VARCHAR(10)</t>
        </is>
      </c>
      <c r="D25" s="7" t="inlineStr">
        <is>
          <t>是</t>
        </is>
      </c>
      <c r="E25" s="7" t="inlineStr">
        <is>
          <t>币种</t>
        </is>
      </c>
    </row>
    <row r="26">
      <c r="A26" s="6" t="inlineStr">
        <is>
          <t>22</t>
        </is>
      </c>
      <c r="B26" s="6" t="inlineStr">
        <is>
          <t>valid_days</t>
        </is>
      </c>
      <c r="C26" s="6" t="inlineStr">
        <is>
          <t>INT</t>
        </is>
      </c>
      <c r="D26" s="6" t="inlineStr">
        <is>
          <t>是</t>
        </is>
      </c>
      <c r="E26" s="6" t="inlineStr">
        <is>
          <t>报价有效期（天）</t>
        </is>
      </c>
    </row>
    <row r="27">
      <c r="A27" s="7" t="inlineStr">
        <is>
          <t>23</t>
        </is>
      </c>
      <c r="B27" s="7" t="inlineStr">
        <is>
          <t>valid_until</t>
        </is>
      </c>
      <c r="C27" s="7" t="inlineStr">
        <is>
          <t>DATE</t>
        </is>
      </c>
      <c r="D27" s="7" t="inlineStr">
        <is>
          <t>是</t>
        </is>
      </c>
      <c r="E27" s="7" t="inlineStr">
        <is>
          <t>报价有效期至</t>
        </is>
      </c>
    </row>
    <row r="28">
      <c r="A28" s="6" t="inlineStr">
        <is>
          <t>24</t>
        </is>
      </c>
      <c r="B28" s="6" t="inlineStr">
        <is>
          <t>sales_id</t>
        </is>
      </c>
      <c r="C28" s="6" t="inlineStr">
        <is>
          <t>BIGINT</t>
        </is>
      </c>
      <c r="D28" s="6" t="inlineStr">
        <is>
          <t>是</t>
        </is>
      </c>
      <c r="E28" s="6" t="inlineStr">
        <is>
          <t>销售负责人</t>
        </is>
      </c>
    </row>
    <row r="29">
      <c r="A29" s="7" t="inlineStr">
        <is>
          <t>25</t>
        </is>
      </c>
      <c r="B29" s="7" t="inlineStr">
        <is>
          <t>presale_id</t>
        </is>
      </c>
      <c r="C29" s="7" t="inlineStr">
        <is>
          <t>BIGINT</t>
        </is>
      </c>
      <c r="D29" s="7" t="inlineStr">
        <is>
          <t>否</t>
        </is>
      </c>
      <c r="E29" s="7" t="inlineStr">
        <is>
          <t>售前负责人</t>
        </is>
      </c>
    </row>
    <row r="30">
      <c r="A30" s="6" t="inlineStr">
        <is>
          <t>26</t>
        </is>
      </c>
      <c r="B30" s="6" t="inlineStr">
        <is>
          <t>submit_time</t>
        </is>
      </c>
      <c r="C30" s="6" t="inlineStr">
        <is>
          <t>DATETIME</t>
        </is>
      </c>
      <c r="D30" s="6" t="inlineStr">
        <is>
          <t>否</t>
        </is>
      </c>
      <c r="E30" s="6" t="inlineStr">
        <is>
          <t>提交审批时间</t>
        </is>
      </c>
    </row>
    <row r="31">
      <c r="A31" s="7" t="inlineStr">
        <is>
          <t>27</t>
        </is>
      </c>
      <c r="B31" s="7" t="inlineStr">
        <is>
          <t>approve_time</t>
        </is>
      </c>
      <c r="C31" s="7" t="inlineStr">
        <is>
          <t>DATETIME</t>
        </is>
      </c>
      <c r="D31" s="7" t="inlineStr">
        <is>
          <t>否</t>
        </is>
      </c>
      <c r="E31" s="7" t="inlineStr">
        <is>
          <t>审批通过时间</t>
        </is>
      </c>
    </row>
    <row r="32">
      <c r="A32" s="6" t="inlineStr">
        <is>
          <t>28</t>
        </is>
      </c>
      <c r="B32" s="6" t="inlineStr">
        <is>
          <t>remark</t>
        </is>
      </c>
      <c r="C32" s="6" t="inlineStr">
        <is>
          <t>TEXT</t>
        </is>
      </c>
      <c r="D32" s="6" t="inlineStr">
        <is>
          <t>否</t>
        </is>
      </c>
      <c r="E32" s="6" t="inlineStr">
        <is>
          <t>备注</t>
        </is>
      </c>
    </row>
    <row r="33">
      <c r="A33" s="7" t="inlineStr">
        <is>
          <t>29</t>
        </is>
      </c>
      <c r="B33" s="7" t="inlineStr">
        <is>
          <t>created_by</t>
        </is>
      </c>
      <c r="C33" s="7" t="inlineStr">
        <is>
          <t>BIGINT</t>
        </is>
      </c>
      <c r="D33" s="7" t="inlineStr">
        <is>
          <t>是</t>
        </is>
      </c>
      <c r="E33" s="7" t="inlineStr">
        <is>
          <t>创建人</t>
        </is>
      </c>
    </row>
    <row r="34">
      <c r="A34" s="6" t="inlineStr">
        <is>
          <t>30</t>
        </is>
      </c>
      <c r="B34" s="6" t="inlineStr">
        <is>
          <t>created_at</t>
        </is>
      </c>
      <c r="C34" s="6" t="inlineStr">
        <is>
          <t>DATETIME</t>
        </is>
      </c>
      <c r="D34" s="6" t="inlineStr">
        <is>
          <t>是</t>
        </is>
      </c>
      <c r="E34" s="6" t="inlineStr">
        <is>
          <t>创建时间</t>
        </is>
      </c>
    </row>
    <row r="35">
      <c r="A35" s="7" t="inlineStr">
        <is>
          <t>31</t>
        </is>
      </c>
      <c r="B35" s="7" t="inlineStr">
        <is>
          <t>updated_at</t>
        </is>
      </c>
      <c r="C35" s="7" t="inlineStr">
        <is>
          <t>DATETIME</t>
        </is>
      </c>
      <c r="D35" s="7" t="inlineStr">
        <is>
          <t>是</t>
        </is>
      </c>
      <c r="E35" s="7" t="inlineStr">
        <is>
          <t>更新时间</t>
        </is>
      </c>
    </row>
    <row r="38" ht="25" customHeight="1">
      <c r="A38" s="3" t="inlineStr">
        <is>
          <t>二、报价明细表 (t_quotation_detail)</t>
        </is>
      </c>
    </row>
    <row r="39">
      <c r="A39" s="5" t="inlineStr">
        <is>
          <t>序号</t>
        </is>
      </c>
      <c r="B39" s="5" t="inlineStr">
        <is>
          <t>字段名</t>
        </is>
      </c>
      <c r="C39" s="5" t="inlineStr">
        <is>
          <t>类型</t>
        </is>
      </c>
      <c r="D39" s="5" t="inlineStr">
        <is>
          <t>必填</t>
        </is>
      </c>
      <c r="E39" s="5" t="inlineStr">
        <is>
          <t>说明</t>
        </is>
      </c>
    </row>
    <row r="40">
      <c r="A40" s="6" t="inlineStr">
        <is>
          <t>1</t>
        </is>
      </c>
      <c r="B40" s="6" t="inlineStr">
        <is>
          <t>id</t>
        </is>
      </c>
      <c r="C40" s="6" t="inlineStr">
        <is>
          <t>BIGINT</t>
        </is>
      </c>
      <c r="D40" s="6" t="inlineStr">
        <is>
          <t>是</t>
        </is>
      </c>
      <c r="E40" s="6" t="inlineStr">
        <is>
          <t>主键</t>
        </is>
      </c>
    </row>
    <row r="41">
      <c r="A41" s="7" t="inlineStr">
        <is>
          <t>2</t>
        </is>
      </c>
      <c r="B41" s="7" t="inlineStr">
        <is>
          <t>quotation_id</t>
        </is>
      </c>
      <c r="C41" s="7" t="inlineStr">
        <is>
          <t>BIGINT</t>
        </is>
      </c>
      <c r="D41" s="7" t="inlineStr">
        <is>
          <t>是</t>
        </is>
      </c>
      <c r="E41" s="7" t="inlineStr">
        <is>
          <t>报价单ID</t>
        </is>
      </c>
    </row>
    <row r="42">
      <c r="A42" s="6" t="inlineStr">
        <is>
          <t>3</t>
        </is>
      </c>
      <c r="B42" s="6" t="inlineStr">
        <is>
          <t>category</t>
        </is>
      </c>
      <c r="C42" s="6" t="inlineStr">
        <is>
          <t>VARCHAR(50)</t>
        </is>
      </c>
      <c r="D42" s="6" t="inlineStr">
        <is>
          <t>是</t>
        </is>
      </c>
      <c r="E42" s="6" t="inlineStr">
        <is>
          <t>成本类别：material/labor/outsource/other</t>
        </is>
      </c>
    </row>
    <row r="43">
      <c r="A43" s="7" t="inlineStr">
        <is>
          <t>4</t>
        </is>
      </c>
      <c r="B43" s="7" t="inlineStr">
        <is>
          <t>sub_category</t>
        </is>
      </c>
      <c r="C43" s="7" t="inlineStr">
        <is>
          <t>VARCHAR(50)</t>
        </is>
      </c>
      <c r="D43" s="7" t="inlineStr">
        <is>
          <t>是</t>
        </is>
      </c>
      <c r="E43" s="7" t="inlineStr">
        <is>
          <t>成本子类</t>
        </is>
      </c>
    </row>
    <row r="44">
      <c r="A44" s="6" t="inlineStr">
        <is>
          <t>5</t>
        </is>
      </c>
      <c r="B44" s="6" t="inlineStr">
        <is>
          <t>item_name</t>
        </is>
      </c>
      <c r="C44" s="6" t="inlineStr">
        <is>
          <t>VARCHAR(200)</t>
        </is>
      </c>
      <c r="D44" s="6" t="inlineStr">
        <is>
          <t>是</t>
        </is>
      </c>
      <c r="E44" s="6" t="inlineStr">
        <is>
          <t>项目名称</t>
        </is>
      </c>
    </row>
    <row r="45">
      <c r="A45" s="7" t="inlineStr">
        <is>
          <t>6</t>
        </is>
      </c>
      <c r="B45" s="7" t="inlineStr">
        <is>
          <t>specification</t>
        </is>
      </c>
      <c r="C45" s="7" t="inlineStr">
        <is>
          <t>VARCHAR(200)</t>
        </is>
      </c>
      <c r="D45" s="7" t="inlineStr">
        <is>
          <t>否</t>
        </is>
      </c>
      <c r="E45" s="7" t="inlineStr">
        <is>
          <t>规格型号</t>
        </is>
      </c>
    </row>
    <row r="46">
      <c r="A46" s="6" t="inlineStr">
        <is>
          <t>7</t>
        </is>
      </c>
      <c r="B46" s="6" t="inlineStr">
        <is>
          <t>unit</t>
        </is>
      </c>
      <c r="C46" s="6" t="inlineStr">
        <is>
          <t>VARCHAR(20)</t>
        </is>
      </c>
      <c r="D46" s="6" t="inlineStr">
        <is>
          <t>是</t>
        </is>
      </c>
      <c r="E46" s="6" t="inlineStr">
        <is>
          <t>单位</t>
        </is>
      </c>
    </row>
    <row r="47">
      <c r="A47" s="7" t="inlineStr">
        <is>
          <t>8</t>
        </is>
      </c>
      <c r="B47" s="7" t="inlineStr">
        <is>
          <t>quantity</t>
        </is>
      </c>
      <c r="C47" s="7" t="inlineStr">
        <is>
          <t>DECIMAL(10,2)</t>
        </is>
      </c>
      <c r="D47" s="7" t="inlineStr">
        <is>
          <t>是</t>
        </is>
      </c>
      <c r="E47" s="7" t="inlineStr">
        <is>
          <t>数量</t>
        </is>
      </c>
    </row>
    <row r="48">
      <c r="A48" s="6" t="inlineStr">
        <is>
          <t>9</t>
        </is>
      </c>
      <c r="B48" s="6" t="inlineStr">
        <is>
          <t>unit_price</t>
        </is>
      </c>
      <c r="C48" s="6" t="inlineStr">
        <is>
          <t>DECIMAL(15,4)</t>
        </is>
      </c>
      <c r="D48" s="6" t="inlineStr">
        <is>
          <t>是</t>
        </is>
      </c>
      <c r="E48" s="6" t="inlineStr">
        <is>
          <t>单价</t>
        </is>
      </c>
    </row>
    <row r="49">
      <c r="A49" s="7" t="inlineStr">
        <is>
          <t>10</t>
        </is>
      </c>
      <c r="B49" s="7" t="inlineStr">
        <is>
          <t>amount</t>
        </is>
      </c>
      <c r="C49" s="7" t="inlineStr">
        <is>
          <t>DECIMAL(15,2)</t>
        </is>
      </c>
      <c r="D49" s="7" t="inlineStr">
        <is>
          <t>是</t>
        </is>
      </c>
      <c r="E49" s="7" t="inlineStr">
        <is>
          <t>金额</t>
        </is>
      </c>
    </row>
    <row r="50">
      <c r="A50" s="6" t="inlineStr">
        <is>
          <t>11</t>
        </is>
      </c>
      <c r="B50" s="6" t="inlineStr">
        <is>
          <t>source</t>
        </is>
      </c>
      <c r="C50" s="6" t="inlineStr">
        <is>
          <t>ENUM</t>
        </is>
      </c>
      <c r="D50" s="6" t="inlineStr">
        <is>
          <t>否</t>
        </is>
      </c>
      <c r="E50" s="6" t="inlineStr">
        <is>
          <t>来源：manual/template/bom/history</t>
        </is>
      </c>
    </row>
    <row r="51">
      <c r="A51" s="7" t="inlineStr">
        <is>
          <t>12</t>
        </is>
      </c>
      <c r="B51" s="7" t="inlineStr">
        <is>
          <t>reference_id</t>
        </is>
      </c>
      <c r="C51" s="7" t="inlineStr">
        <is>
          <t>BIGINT</t>
        </is>
      </c>
      <c r="D51" s="7" t="inlineStr">
        <is>
          <t>否</t>
        </is>
      </c>
      <c r="E51" s="7" t="inlineStr">
        <is>
          <t>参考ID（模板/历史）</t>
        </is>
      </c>
    </row>
    <row r="52">
      <c r="A52" s="6" t="inlineStr">
        <is>
          <t>13</t>
        </is>
      </c>
      <c r="B52" s="6" t="inlineStr">
        <is>
          <t>remark</t>
        </is>
      </c>
      <c r="C52" s="6" t="inlineStr">
        <is>
          <t>VARCHAR(500)</t>
        </is>
      </c>
      <c r="D52" s="6" t="inlineStr">
        <is>
          <t>否</t>
        </is>
      </c>
      <c r="E52" s="6" t="inlineStr">
        <is>
          <t>备注</t>
        </is>
      </c>
    </row>
    <row r="53">
      <c r="A53" s="7" t="inlineStr">
        <is>
          <t>14</t>
        </is>
      </c>
      <c r="B53" s="7" t="inlineStr">
        <is>
          <t>sort_order</t>
        </is>
      </c>
      <c r="C53" s="7" t="inlineStr">
        <is>
          <t>INT</t>
        </is>
      </c>
      <c r="D53" s="7" t="inlineStr">
        <is>
          <t>是</t>
        </is>
      </c>
      <c r="E53" s="7" t="inlineStr">
        <is>
          <t>排序</t>
        </is>
      </c>
    </row>
  </sheetData>
  <mergeCells count="3">
    <mergeCell ref="A38:E38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报价成本数据模型设计（续）</t>
        </is>
      </c>
    </row>
    <row r="3" ht="25" customHeight="1">
      <c r="A3" s="3" t="inlineStr">
        <is>
          <t>一、项目成本预算表 (t_project_budget)</t>
        </is>
      </c>
    </row>
    <row r="4">
      <c r="A4" s="5" t="inlineStr">
        <is>
          <t>序号</t>
        </is>
      </c>
      <c r="B4" s="5" t="inlineStr">
        <is>
          <t>字段名</t>
        </is>
      </c>
      <c r="C4" s="5" t="inlineStr">
        <is>
          <t>类型</t>
        </is>
      </c>
      <c r="D4" s="5" t="inlineStr">
        <is>
          <t>必填</t>
        </is>
      </c>
      <c r="E4" s="5" t="inlineStr">
        <is>
          <t>说明</t>
        </is>
      </c>
    </row>
    <row r="5">
      <c r="A5" s="7" t="inlineStr">
        <is>
          <t>1</t>
        </is>
      </c>
      <c r="B5" s="7" t="inlineStr">
        <is>
          <t>id</t>
        </is>
      </c>
      <c r="C5" s="7" t="inlineStr">
        <is>
          <t>BIGINT</t>
        </is>
      </c>
      <c r="D5" s="7" t="inlineStr">
        <is>
          <t>是</t>
        </is>
      </c>
      <c r="E5" s="7" t="inlineStr">
        <is>
          <t>主键</t>
        </is>
      </c>
    </row>
    <row r="6">
      <c r="A6" s="6" t="inlineStr">
        <is>
          <t>2</t>
        </is>
      </c>
      <c r="B6" s="6" t="inlineStr">
        <is>
          <t>project_id</t>
        </is>
      </c>
      <c r="C6" s="6" t="inlineStr">
        <is>
          <t>BIGINT</t>
        </is>
      </c>
      <c r="D6" s="6" t="inlineStr">
        <is>
          <t>是</t>
        </is>
      </c>
      <c r="E6" s="6" t="inlineStr">
        <is>
          <t>项目ID</t>
        </is>
      </c>
    </row>
    <row r="7">
      <c r="A7" s="7" t="inlineStr">
        <is>
          <t>3</t>
        </is>
      </c>
      <c r="B7" s="7" t="inlineStr">
        <is>
          <t>quotation_id</t>
        </is>
      </c>
      <c r="C7" s="7" t="inlineStr">
        <is>
          <t>BIGINT</t>
        </is>
      </c>
      <c r="D7" s="7" t="inlineStr">
        <is>
          <t>是</t>
        </is>
      </c>
      <c r="E7" s="7" t="inlineStr">
        <is>
          <t>关联报价单ID</t>
        </is>
      </c>
    </row>
    <row r="8">
      <c r="A8" s="6" t="inlineStr">
        <is>
          <t>4</t>
        </is>
      </c>
      <c r="B8" s="6" t="inlineStr">
        <is>
          <t>budget_version</t>
        </is>
      </c>
      <c r="C8" s="6" t="inlineStr">
        <is>
          <t>VARCHAR(20)</t>
        </is>
      </c>
      <c r="D8" s="6" t="inlineStr">
        <is>
          <t>是</t>
        </is>
      </c>
      <c r="E8" s="6" t="inlineStr">
        <is>
          <t>预算版本</t>
        </is>
      </c>
    </row>
    <row r="9">
      <c r="A9" s="7" t="inlineStr">
        <is>
          <t>5</t>
        </is>
      </c>
      <c r="B9" s="7" t="inlineStr">
        <is>
          <t>material_budget</t>
        </is>
      </c>
      <c r="C9" s="7" t="inlineStr">
        <is>
          <t>DECIMAL(15,2)</t>
        </is>
      </c>
      <c r="D9" s="7" t="inlineStr">
        <is>
          <t>是</t>
        </is>
      </c>
      <c r="E9" s="7" t="inlineStr">
        <is>
          <t>材料预算</t>
        </is>
      </c>
    </row>
    <row r="10">
      <c r="A10" s="6" t="inlineStr">
        <is>
          <t>6</t>
        </is>
      </c>
      <c r="B10" s="6" t="inlineStr">
        <is>
          <t>labor_budget</t>
        </is>
      </c>
      <c r="C10" s="6" t="inlineStr">
        <is>
          <t>DECIMAL(15,2)</t>
        </is>
      </c>
      <c r="D10" s="6" t="inlineStr">
        <is>
          <t>是</t>
        </is>
      </c>
      <c r="E10" s="6" t="inlineStr">
        <is>
          <t>人工预算</t>
        </is>
      </c>
    </row>
    <row r="11">
      <c r="A11" s="7" t="inlineStr">
        <is>
          <t>7</t>
        </is>
      </c>
      <c r="B11" s="7" t="inlineStr">
        <is>
          <t>outsource_budget</t>
        </is>
      </c>
      <c r="C11" s="7" t="inlineStr">
        <is>
          <t>DECIMAL(15,2)</t>
        </is>
      </c>
      <c r="D11" s="7" t="inlineStr">
        <is>
          <t>是</t>
        </is>
      </c>
      <c r="E11" s="7" t="inlineStr">
        <is>
          <t>外协预算</t>
        </is>
      </c>
    </row>
    <row r="12">
      <c r="A12" s="6" t="inlineStr">
        <is>
          <t>8</t>
        </is>
      </c>
      <c r="B12" s="6" t="inlineStr">
        <is>
          <t>other_budget</t>
        </is>
      </c>
      <c r="C12" s="6" t="inlineStr">
        <is>
          <t>DECIMAL(15,2)</t>
        </is>
      </c>
      <c r="D12" s="6" t="inlineStr">
        <is>
          <t>是</t>
        </is>
      </c>
      <c r="E12" s="6" t="inlineStr">
        <is>
          <t>其他预算</t>
        </is>
      </c>
    </row>
    <row r="13">
      <c r="A13" s="7" t="inlineStr">
        <is>
          <t>9</t>
        </is>
      </c>
      <c r="B13" s="7" t="inlineStr">
        <is>
          <t>total_budget</t>
        </is>
      </c>
      <c r="C13" s="7" t="inlineStr">
        <is>
          <t>DECIMAL(15,2)</t>
        </is>
      </c>
      <c r="D13" s="7" t="inlineStr">
        <is>
          <t>是</t>
        </is>
      </c>
      <c r="E13" s="7" t="inlineStr">
        <is>
          <t>总预算</t>
        </is>
      </c>
    </row>
    <row r="14">
      <c r="A14" s="6" t="inlineStr">
        <is>
          <t>10</t>
        </is>
      </c>
      <c r="B14" s="6" t="inlineStr">
        <is>
          <t>contract_amount</t>
        </is>
      </c>
      <c r="C14" s="6" t="inlineStr">
        <is>
          <t>DECIMAL(15,2)</t>
        </is>
      </c>
      <c r="D14" s="6" t="inlineStr">
        <is>
          <t>是</t>
        </is>
      </c>
      <c r="E14" s="6" t="inlineStr">
        <is>
          <t>合同金额</t>
        </is>
      </c>
    </row>
    <row r="15">
      <c r="A15" s="7" t="inlineStr">
        <is>
          <t>11</t>
        </is>
      </c>
      <c r="B15" s="7" t="inlineStr">
        <is>
          <t>target_margin</t>
        </is>
      </c>
      <c r="C15" s="7" t="inlineStr">
        <is>
          <t>DECIMAL(15,2)</t>
        </is>
      </c>
      <c r="D15" s="7" t="inlineStr">
        <is>
          <t>是</t>
        </is>
      </c>
      <c r="E15" s="7" t="inlineStr">
        <is>
          <t>目标毛利</t>
        </is>
      </c>
    </row>
    <row r="16">
      <c r="A16" s="6" t="inlineStr">
        <is>
          <t>12</t>
        </is>
      </c>
      <c r="B16" s="6" t="inlineStr">
        <is>
          <t>target_margin_rate</t>
        </is>
      </c>
      <c r="C16" s="6" t="inlineStr">
        <is>
          <t>DECIMAL(5,2)</t>
        </is>
      </c>
      <c r="D16" s="6" t="inlineStr">
        <is>
          <t>是</t>
        </is>
      </c>
      <c r="E16" s="6" t="inlineStr">
        <is>
          <t>目标毛利率</t>
        </is>
      </c>
    </row>
    <row r="17">
      <c r="A17" s="7" t="inlineStr">
        <is>
          <t>13</t>
        </is>
      </c>
      <c r="B17" s="7" t="inlineStr">
        <is>
          <t>status</t>
        </is>
      </c>
      <c r="C17" s="7" t="inlineStr">
        <is>
          <t>ENUM</t>
        </is>
      </c>
      <c r="D17" s="7" t="inlineStr">
        <is>
          <t>是</t>
        </is>
      </c>
      <c r="E17" s="7" t="inlineStr">
        <is>
          <t>状态：draft/approved/locked</t>
        </is>
      </c>
    </row>
    <row r="18">
      <c r="A18" s="6" t="inlineStr">
        <is>
          <t>14</t>
        </is>
      </c>
      <c r="B18" s="6" t="inlineStr">
        <is>
          <t>approved_by</t>
        </is>
      </c>
      <c r="C18" s="6" t="inlineStr">
        <is>
          <t>BIGINT</t>
        </is>
      </c>
      <c r="D18" s="6" t="inlineStr">
        <is>
          <t>否</t>
        </is>
      </c>
      <c r="E18" s="6" t="inlineStr">
        <is>
          <t>审批人</t>
        </is>
      </c>
    </row>
    <row r="19">
      <c r="A19" s="7" t="inlineStr">
        <is>
          <t>15</t>
        </is>
      </c>
      <c r="B19" s="7" t="inlineStr">
        <is>
          <t>approved_at</t>
        </is>
      </c>
      <c r="C19" s="7" t="inlineStr">
        <is>
          <t>DATETIME</t>
        </is>
      </c>
      <c r="D19" s="7" t="inlineStr">
        <is>
          <t>否</t>
        </is>
      </c>
      <c r="E19" s="7" t="inlineStr">
        <is>
          <t>审批时间</t>
        </is>
      </c>
    </row>
    <row r="20">
      <c r="A20" s="6" t="inlineStr">
        <is>
          <t>16</t>
        </is>
      </c>
      <c r="B20" s="6" t="inlineStr">
        <is>
          <t>created_at</t>
        </is>
      </c>
      <c r="C20" s="6" t="inlineStr">
        <is>
          <t>DATETIME</t>
        </is>
      </c>
      <c r="D20" s="6" t="inlineStr">
        <is>
          <t>是</t>
        </is>
      </c>
      <c r="E20" s="6" t="inlineStr">
        <is>
          <t>创建时间</t>
        </is>
      </c>
    </row>
    <row r="23" ht="25" customHeight="1">
      <c r="A23" s="3" t="inlineStr">
        <is>
          <t>二、项目成本台账表 (t_project_cost_ledger)</t>
        </is>
      </c>
    </row>
    <row r="24">
      <c r="A24" s="5" t="inlineStr">
        <is>
          <t>序号</t>
        </is>
      </c>
      <c r="B24" s="5" t="inlineStr">
        <is>
          <t>字段名</t>
        </is>
      </c>
      <c r="C24" s="5" t="inlineStr">
        <is>
          <t>类型</t>
        </is>
      </c>
      <c r="D24" s="5" t="inlineStr">
        <is>
          <t>必填</t>
        </is>
      </c>
      <c r="E24" s="5" t="inlineStr">
        <is>
          <t>说明</t>
        </is>
      </c>
    </row>
    <row r="25">
      <c r="A25" s="7" t="inlineStr">
        <is>
          <t>1</t>
        </is>
      </c>
      <c r="B25" s="7" t="inlineStr">
        <is>
          <t>id</t>
        </is>
      </c>
      <c r="C25" s="7" t="inlineStr">
        <is>
          <t>BIGINT</t>
        </is>
      </c>
      <c r="D25" s="7" t="inlineStr">
        <is>
          <t>是</t>
        </is>
      </c>
      <c r="E25" s="7" t="inlineStr">
        <is>
          <t>主键</t>
        </is>
      </c>
    </row>
    <row r="26">
      <c r="A26" s="6" t="inlineStr">
        <is>
          <t>2</t>
        </is>
      </c>
      <c r="B26" s="6" t="inlineStr">
        <is>
          <t>project_id</t>
        </is>
      </c>
      <c r="C26" s="6" t="inlineStr">
        <is>
          <t>BIGINT</t>
        </is>
      </c>
      <c r="D26" s="6" t="inlineStr">
        <is>
          <t>是</t>
        </is>
      </c>
      <c r="E26" s="6" t="inlineStr">
        <is>
          <t>项目ID</t>
        </is>
      </c>
    </row>
    <row r="27">
      <c r="A27" s="7" t="inlineStr">
        <is>
          <t>3</t>
        </is>
      </c>
      <c r="B27" s="7" t="inlineStr">
        <is>
          <t>cost_category</t>
        </is>
      </c>
      <c r="C27" s="7" t="inlineStr">
        <is>
          <t>VARCHAR(50)</t>
        </is>
      </c>
      <c r="D27" s="7" t="inlineStr">
        <is>
          <t>是</t>
        </is>
      </c>
      <c r="E27" s="7" t="inlineStr">
        <is>
          <t>成本类别</t>
        </is>
      </c>
    </row>
    <row r="28">
      <c r="A28" s="6" t="inlineStr">
        <is>
          <t>4</t>
        </is>
      </c>
      <c r="B28" s="6" t="inlineStr">
        <is>
          <t>cost_sub_category</t>
        </is>
      </c>
      <c r="C28" s="6" t="inlineStr">
        <is>
          <t>VARCHAR(50)</t>
        </is>
      </c>
      <c r="D28" s="6" t="inlineStr">
        <is>
          <t>是</t>
        </is>
      </c>
      <c r="E28" s="6" t="inlineStr">
        <is>
          <t>成本子类</t>
        </is>
      </c>
    </row>
    <row r="29">
      <c r="A29" s="7" t="inlineStr">
        <is>
          <t>5</t>
        </is>
      </c>
      <c r="B29" s="7" t="inlineStr">
        <is>
          <t>occur_date</t>
        </is>
      </c>
      <c r="C29" s="7" t="inlineStr">
        <is>
          <t>DATE</t>
        </is>
      </c>
      <c r="D29" s="7" t="inlineStr">
        <is>
          <t>是</t>
        </is>
      </c>
      <c r="E29" s="7" t="inlineStr">
        <is>
          <t>发生日期</t>
        </is>
      </c>
    </row>
    <row r="30">
      <c r="A30" s="6" t="inlineStr">
        <is>
          <t>6</t>
        </is>
      </c>
      <c r="B30" s="6" t="inlineStr">
        <is>
          <t>voucher_type</t>
        </is>
      </c>
      <c r="C30" s="6" t="inlineStr">
        <is>
          <t>VARCHAR(50)</t>
        </is>
      </c>
      <c r="D30" s="6" t="inlineStr">
        <is>
          <t>是</t>
        </is>
      </c>
      <c r="E30" s="6" t="inlineStr">
        <is>
          <t>单据类型</t>
        </is>
      </c>
    </row>
    <row r="31">
      <c r="A31" s="7" t="inlineStr">
        <is>
          <t>7</t>
        </is>
      </c>
      <c r="B31" s="7" t="inlineStr">
        <is>
          <t>voucher_no</t>
        </is>
      </c>
      <c r="C31" s="7" t="inlineStr">
        <is>
          <t>VARCHAR(50)</t>
        </is>
      </c>
      <c r="D31" s="7" t="inlineStr">
        <is>
          <t>是</t>
        </is>
      </c>
      <c r="E31" s="7" t="inlineStr">
        <is>
          <t>单据编号</t>
        </is>
      </c>
    </row>
    <row r="32">
      <c r="A32" s="6" t="inlineStr">
        <is>
          <t>8</t>
        </is>
      </c>
      <c r="B32" s="6" t="inlineStr">
        <is>
          <t>summary</t>
        </is>
      </c>
      <c r="C32" s="6" t="inlineStr">
        <is>
          <t>VARCHAR(500)</t>
        </is>
      </c>
      <c r="D32" s="6" t="inlineStr">
        <is>
          <t>是</t>
        </is>
      </c>
      <c r="E32" s="6" t="inlineStr">
        <is>
          <t>摘要</t>
        </is>
      </c>
    </row>
    <row r="33">
      <c r="A33" s="7" t="inlineStr">
        <is>
          <t>9</t>
        </is>
      </c>
      <c r="B33" s="7" t="inlineStr">
        <is>
          <t>quantity</t>
        </is>
      </c>
      <c r="C33" s="7" t="inlineStr">
        <is>
          <t>DECIMAL(10,2)</t>
        </is>
      </c>
      <c r="D33" s="7" t="inlineStr">
        <is>
          <t>否</t>
        </is>
      </c>
      <c r="E33" s="7" t="inlineStr">
        <is>
          <t>数量</t>
        </is>
      </c>
    </row>
    <row r="34">
      <c r="A34" s="6" t="inlineStr">
        <is>
          <t>10</t>
        </is>
      </c>
      <c r="B34" s="6" t="inlineStr">
        <is>
          <t>unit_price</t>
        </is>
      </c>
      <c r="C34" s="6" t="inlineStr">
        <is>
          <t>DECIMAL(15,4)</t>
        </is>
      </c>
      <c r="D34" s="6" t="inlineStr">
        <is>
          <t>否</t>
        </is>
      </c>
      <c r="E34" s="6" t="inlineStr">
        <is>
          <t>单价</t>
        </is>
      </c>
    </row>
    <row r="35">
      <c r="A35" s="7" t="inlineStr">
        <is>
          <t>11</t>
        </is>
      </c>
      <c r="B35" s="7" t="inlineStr">
        <is>
          <t>amount</t>
        </is>
      </c>
      <c r="C35" s="7" t="inlineStr">
        <is>
          <t>DECIMAL(15,2)</t>
        </is>
      </c>
      <c r="D35" s="7" t="inlineStr">
        <is>
          <t>是</t>
        </is>
      </c>
      <c r="E35" s="7" t="inlineStr">
        <is>
          <t>金额</t>
        </is>
      </c>
    </row>
    <row r="36">
      <c r="A36" s="6" t="inlineStr">
        <is>
          <t>12</t>
        </is>
      </c>
      <c r="B36" s="6" t="inlineStr">
        <is>
          <t>supplier_id</t>
        </is>
      </c>
      <c r="C36" s="6" t="inlineStr">
        <is>
          <t>BIGINT</t>
        </is>
      </c>
      <c r="D36" s="6" t="inlineStr">
        <is>
          <t>否</t>
        </is>
      </c>
      <c r="E36" s="6" t="inlineStr">
        <is>
          <t>供应商ID</t>
        </is>
      </c>
    </row>
    <row r="37">
      <c r="A37" s="7" t="inlineStr">
        <is>
          <t>13</t>
        </is>
      </c>
      <c r="B37" s="7" t="inlineStr">
        <is>
          <t>employee_id</t>
        </is>
      </c>
      <c r="C37" s="7" t="inlineStr">
        <is>
          <t>BIGINT</t>
        </is>
      </c>
      <c r="D37" s="7" t="inlineStr">
        <is>
          <t>否</t>
        </is>
      </c>
      <c r="E37" s="7" t="inlineStr">
        <is>
          <t>员工ID</t>
        </is>
      </c>
    </row>
    <row r="38">
      <c r="A38" s="6" t="inlineStr">
        <is>
          <t>14</t>
        </is>
      </c>
      <c r="B38" s="6" t="inlineStr">
        <is>
          <t>source_system</t>
        </is>
      </c>
      <c r="C38" s="6" t="inlineStr">
        <is>
          <t>VARCHAR(50)</t>
        </is>
      </c>
      <c r="D38" s="6" t="inlineStr">
        <is>
          <t>是</t>
        </is>
      </c>
      <c r="E38" s="6" t="inlineStr">
        <is>
          <t>来源系统</t>
        </is>
      </c>
    </row>
    <row r="39">
      <c r="A39" s="7" t="inlineStr">
        <is>
          <t>15</t>
        </is>
      </c>
      <c r="B39" s="7" t="inlineStr">
        <is>
          <t>source_id</t>
        </is>
      </c>
      <c r="C39" s="7" t="inlineStr">
        <is>
          <t>BIGINT</t>
        </is>
      </c>
      <c r="D39" s="7" t="inlineStr">
        <is>
          <t>是</t>
        </is>
      </c>
      <c r="E39" s="7" t="inlineStr">
        <is>
          <t>来源ID</t>
        </is>
      </c>
    </row>
    <row r="40">
      <c r="A40" s="6" t="inlineStr">
        <is>
          <t>16</t>
        </is>
      </c>
      <c r="B40" s="6" t="inlineStr">
        <is>
          <t>is_auto</t>
        </is>
      </c>
      <c r="C40" s="6" t="inlineStr">
        <is>
          <t>TINYINT</t>
        </is>
      </c>
      <c r="D40" s="6" t="inlineStr">
        <is>
          <t>是</t>
        </is>
      </c>
      <c r="E40" s="6" t="inlineStr">
        <is>
          <t>是否自动归集</t>
        </is>
      </c>
    </row>
    <row r="41">
      <c r="A41" s="7" t="inlineStr">
        <is>
          <t>17</t>
        </is>
      </c>
      <c r="B41" s="7" t="inlineStr">
        <is>
          <t>created_at</t>
        </is>
      </c>
      <c r="C41" s="7" t="inlineStr">
        <is>
          <t>DATETIME</t>
        </is>
      </c>
      <c r="D41" s="7" t="inlineStr">
        <is>
          <t>是</t>
        </is>
      </c>
      <c r="E41" s="7" t="inlineStr">
        <is>
          <t>创建时间</t>
        </is>
      </c>
    </row>
    <row r="44" ht="25" customHeight="1">
      <c r="A44" s="3" t="inlineStr">
        <is>
          <t>三、工时单价表 (t_labor_rate)</t>
        </is>
      </c>
    </row>
    <row r="45">
      <c r="A45" s="5" t="inlineStr">
        <is>
          <t>序号</t>
        </is>
      </c>
      <c r="B45" s="5" t="inlineStr">
        <is>
          <t>字段名</t>
        </is>
      </c>
      <c r="C45" s="5" t="inlineStr">
        <is>
          <t>类型</t>
        </is>
      </c>
      <c r="D45" s="5" t="inlineStr">
        <is>
          <t>必填</t>
        </is>
      </c>
      <c r="E45" s="5" t="inlineStr">
        <is>
          <t>说明</t>
        </is>
      </c>
    </row>
    <row r="46">
      <c r="A46" s="6" t="inlineStr">
        <is>
          <t>1</t>
        </is>
      </c>
      <c r="B46" s="6" t="inlineStr">
        <is>
          <t>id</t>
        </is>
      </c>
      <c r="C46" s="6" t="inlineStr">
        <is>
          <t>BIGINT</t>
        </is>
      </c>
      <c r="D46" s="6" t="inlineStr">
        <is>
          <t>是</t>
        </is>
      </c>
      <c r="E46" s="6" t="inlineStr">
        <is>
          <t>主键</t>
        </is>
      </c>
    </row>
    <row r="47">
      <c r="A47" s="7" t="inlineStr">
        <is>
          <t>2</t>
        </is>
      </c>
      <c r="B47" s="7" t="inlineStr">
        <is>
          <t>work_type</t>
        </is>
      </c>
      <c r="C47" s="7" t="inlineStr">
        <is>
          <t>VARCHAR(50)</t>
        </is>
      </c>
      <c r="D47" s="7" t="inlineStr">
        <is>
          <t>是</t>
        </is>
      </c>
      <c r="E47" s="7" t="inlineStr">
        <is>
          <t>工种类型</t>
        </is>
      </c>
    </row>
    <row r="48">
      <c r="A48" s="6" t="inlineStr">
        <is>
          <t>3</t>
        </is>
      </c>
      <c r="B48" s="6" t="inlineStr">
        <is>
          <t>level</t>
        </is>
      </c>
      <c r="C48" s="6" t="inlineStr">
        <is>
          <t>VARCHAR(20)</t>
        </is>
      </c>
      <c r="D48" s="6" t="inlineStr">
        <is>
          <t>是</t>
        </is>
      </c>
      <c r="E48" s="6" t="inlineStr">
        <is>
          <t>级别</t>
        </is>
      </c>
    </row>
    <row r="49">
      <c r="A49" s="7" t="inlineStr">
        <is>
          <t>4</t>
        </is>
      </c>
      <c r="B49" s="7" t="inlineStr">
        <is>
          <t>daily_rate</t>
        </is>
      </c>
      <c r="C49" s="7" t="inlineStr">
        <is>
          <t>DECIMAL(10,2)</t>
        </is>
      </c>
      <c r="D49" s="7" t="inlineStr">
        <is>
          <t>是</t>
        </is>
      </c>
      <c r="E49" s="7" t="inlineStr">
        <is>
          <t>日单价</t>
        </is>
      </c>
    </row>
    <row r="50">
      <c r="A50" s="6" t="inlineStr">
        <is>
          <t>5</t>
        </is>
      </c>
      <c r="B50" s="6" t="inlineStr">
        <is>
          <t>hourly_rate</t>
        </is>
      </c>
      <c r="C50" s="6" t="inlineStr">
        <is>
          <t>DECIMAL(10,2)</t>
        </is>
      </c>
      <c r="D50" s="6" t="inlineStr">
        <is>
          <t>是</t>
        </is>
      </c>
      <c r="E50" s="6" t="inlineStr">
        <is>
          <t>时单价</t>
        </is>
      </c>
    </row>
    <row r="51">
      <c r="A51" s="7" t="inlineStr">
        <is>
          <t>6</t>
        </is>
      </c>
      <c r="B51" s="7" t="inlineStr">
        <is>
          <t>effective_from</t>
        </is>
      </c>
      <c r="C51" s="7" t="inlineStr">
        <is>
          <t>DATE</t>
        </is>
      </c>
      <c r="D51" s="7" t="inlineStr">
        <is>
          <t>是</t>
        </is>
      </c>
      <c r="E51" s="7" t="inlineStr">
        <is>
          <t>生效日期</t>
        </is>
      </c>
    </row>
    <row r="52">
      <c r="A52" s="6" t="inlineStr">
        <is>
          <t>7</t>
        </is>
      </c>
      <c r="B52" s="6" t="inlineStr">
        <is>
          <t>effective_to</t>
        </is>
      </c>
      <c r="C52" s="6" t="inlineStr">
        <is>
          <t>DATE</t>
        </is>
      </c>
      <c r="D52" s="6" t="inlineStr">
        <is>
          <t>否</t>
        </is>
      </c>
      <c r="E52" s="6" t="inlineStr">
        <is>
          <t>失效日期</t>
        </is>
      </c>
    </row>
    <row r="53">
      <c r="A53" s="7" t="inlineStr">
        <is>
          <t>8</t>
        </is>
      </c>
      <c r="B53" s="7" t="inlineStr">
        <is>
          <t>status</t>
        </is>
      </c>
      <c r="C53" s="7" t="inlineStr">
        <is>
          <t>ENUM</t>
        </is>
      </c>
      <c r="D53" s="7" t="inlineStr">
        <is>
          <t>是</t>
        </is>
      </c>
      <c r="E53" s="7" t="inlineStr">
        <is>
          <t>状态：active/inactive</t>
        </is>
      </c>
    </row>
    <row r="54">
      <c r="A54" s="6" t="inlineStr">
        <is>
          <t>9</t>
        </is>
      </c>
      <c r="B54" s="6" t="inlineStr">
        <is>
          <t>remark</t>
        </is>
      </c>
      <c r="C54" s="6" t="inlineStr">
        <is>
          <t>VARCHAR(200)</t>
        </is>
      </c>
      <c r="D54" s="6" t="inlineStr">
        <is>
          <t>否</t>
        </is>
      </c>
      <c r="E54" s="6" t="inlineStr">
        <is>
          <t>备注</t>
        </is>
      </c>
    </row>
  </sheetData>
  <mergeCells count="4">
    <mergeCell ref="A44:E44"/>
    <mergeCell ref="A1:E1"/>
    <mergeCell ref="A23:E2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35" customWidth="1" min="4" max="4"/>
    <col width="20" customWidth="1" min="5" max="5"/>
  </cols>
  <sheetData>
    <row r="1" ht="35" customHeight="1">
      <c r="A1" s="1" t="inlineStr">
        <is>
          <t>系统集成设计</t>
        </is>
      </c>
    </row>
    <row r="3">
      <c r="A3" s="5" t="inlineStr">
        <is>
          <t>序号</t>
        </is>
      </c>
      <c r="B3" s="5" t="inlineStr">
        <is>
          <t>集成系统</t>
        </is>
      </c>
      <c r="C3" s="5" t="inlineStr">
        <is>
          <t>集成内容</t>
        </is>
      </c>
      <c r="D3" s="5" t="inlineStr">
        <is>
          <t>数据流向</t>
        </is>
      </c>
      <c r="E3" s="5" t="inlineStr">
        <is>
          <t>集成方式</t>
        </is>
      </c>
    </row>
    <row r="4">
      <c r="A4" s="8" t="inlineStr">
        <is>
          <t>【报价阶段】</t>
        </is>
      </c>
    </row>
    <row r="5">
      <c r="A5" s="7" t="inlineStr">
        <is>
          <t>1</t>
        </is>
      </c>
      <c r="B5" s="7" t="inlineStr">
        <is>
          <t>CRM/商机管理</t>
        </is>
      </c>
      <c r="C5" s="7" t="inlineStr">
        <is>
          <t>客户信息、商机信息</t>
        </is>
      </c>
      <c r="D5" s="7" t="inlineStr">
        <is>
          <t>CRM→报价系统</t>
        </is>
      </c>
      <c r="E5" s="7" t="inlineStr">
        <is>
          <t>API</t>
        </is>
      </c>
    </row>
    <row r="6">
      <c r="A6" s="6" t="inlineStr">
        <is>
          <t>2</t>
        </is>
      </c>
      <c r="B6" s="6" t="inlineStr">
        <is>
          <t>技术方案系统</t>
        </is>
      </c>
      <c r="C6" s="6" t="inlineStr">
        <is>
          <t>技术方案、设备配置</t>
        </is>
      </c>
      <c r="D6" s="6" t="inlineStr">
        <is>
          <t>方案→报价</t>
        </is>
      </c>
      <c r="E6" s="6" t="inlineStr">
        <is>
          <t>关联引用</t>
        </is>
      </c>
    </row>
    <row r="7">
      <c r="A7" s="7" t="inlineStr">
        <is>
          <t>3</t>
        </is>
      </c>
      <c r="B7" s="7" t="inlineStr">
        <is>
          <t>物料价格库</t>
        </is>
      </c>
      <c r="C7" s="7" t="inlineStr">
        <is>
          <t>物料历史采购价格</t>
        </is>
      </c>
      <c r="D7" s="7" t="inlineStr">
        <is>
          <t>价格库→报价</t>
        </is>
      </c>
      <c r="E7" s="7" t="inlineStr">
        <is>
          <t>查询引用</t>
        </is>
      </c>
    </row>
    <row r="8">
      <c r="A8" s="6" t="inlineStr">
        <is>
          <t>4</t>
        </is>
      </c>
      <c r="B8" s="6" t="inlineStr">
        <is>
          <t>工时标准库</t>
        </is>
      </c>
      <c r="C8" s="6" t="inlineStr">
        <is>
          <t>工时标准、单价</t>
        </is>
      </c>
      <c r="D8" s="6" t="inlineStr">
        <is>
          <t>标准库→报价</t>
        </is>
      </c>
      <c r="E8" s="6" t="inlineStr">
        <is>
          <t>查询引用</t>
        </is>
      </c>
    </row>
    <row r="9">
      <c r="A9" s="8" t="inlineStr">
        <is>
          <t>【项目执行阶段】</t>
        </is>
      </c>
    </row>
    <row r="10">
      <c r="A10" s="6" t="inlineStr">
        <is>
          <t>5</t>
        </is>
      </c>
      <c r="B10" s="6" t="inlineStr">
        <is>
          <t>项目管理系统</t>
        </is>
      </c>
      <c r="C10" s="6" t="inlineStr">
        <is>
          <t>项目信息、合同金额</t>
        </is>
      </c>
      <c r="D10" s="6" t="inlineStr">
        <is>
          <t>双向同步</t>
        </is>
      </c>
      <c r="E10" s="6" t="inlineStr">
        <is>
          <t>API</t>
        </is>
      </c>
    </row>
    <row r="11">
      <c r="A11" s="7" t="inlineStr">
        <is>
          <t>6</t>
        </is>
      </c>
      <c r="B11" s="7" t="inlineStr">
        <is>
          <t>采购系统</t>
        </is>
      </c>
      <c r="C11" s="7" t="inlineStr">
        <is>
          <t>采购入库、采购价格</t>
        </is>
      </c>
      <c r="D11" s="7" t="inlineStr">
        <is>
          <t>采购→成本归集</t>
        </is>
      </c>
      <c r="E11" s="7" t="inlineStr">
        <is>
          <t>事件触发</t>
        </is>
      </c>
    </row>
    <row r="12">
      <c r="A12" s="6" t="inlineStr">
        <is>
          <t>7</t>
        </is>
      </c>
      <c r="B12" s="6" t="inlineStr">
        <is>
          <t>仓库系统</t>
        </is>
      </c>
      <c r="C12" s="6" t="inlineStr">
        <is>
          <t>领料、退料</t>
        </is>
      </c>
      <c r="D12" s="6" t="inlineStr">
        <is>
          <t>仓库→成本归集</t>
        </is>
      </c>
      <c r="E12" s="6" t="inlineStr">
        <is>
          <t>事件触发</t>
        </is>
      </c>
    </row>
    <row r="13">
      <c r="A13" s="7" t="inlineStr">
        <is>
          <t>8</t>
        </is>
      </c>
      <c r="B13" s="7" t="inlineStr">
        <is>
          <t>生产MES</t>
        </is>
      </c>
      <c r="C13" s="7" t="inlineStr">
        <is>
          <t>生产报工、工时</t>
        </is>
      </c>
      <c r="D13" s="7" t="inlineStr">
        <is>
          <t>MES→成本归集</t>
        </is>
      </c>
      <c r="E13" s="7" t="inlineStr">
        <is>
          <t>事件触发</t>
        </is>
      </c>
    </row>
    <row r="14">
      <c r="A14" s="6" t="inlineStr">
        <is>
          <t>9</t>
        </is>
      </c>
      <c r="B14" s="6" t="inlineStr">
        <is>
          <t>工时系统</t>
        </is>
      </c>
      <c r="C14" s="6" t="inlineStr">
        <is>
          <t>设计/调试工时</t>
        </is>
      </c>
      <c r="D14" s="6" t="inlineStr">
        <is>
          <t>工时→成本归集</t>
        </is>
      </c>
      <c r="E14" s="6" t="inlineStr">
        <is>
          <t>定时同步</t>
        </is>
      </c>
    </row>
    <row r="15">
      <c r="A15" s="7" t="inlineStr">
        <is>
          <t>10</t>
        </is>
      </c>
      <c r="B15" s="7" t="inlineStr">
        <is>
          <t>费用报销</t>
        </is>
      </c>
      <c r="C15" s="7" t="inlineStr">
        <is>
          <t>差旅、其他费用</t>
        </is>
      </c>
      <c r="D15" s="7" t="inlineStr">
        <is>
          <t>报销→成本归集</t>
        </is>
      </c>
      <c r="E15" s="7" t="inlineStr">
        <is>
          <t>审批后触发</t>
        </is>
      </c>
    </row>
    <row r="16">
      <c r="A16" s="6" t="inlineStr">
        <is>
          <t>11</t>
        </is>
      </c>
      <c r="B16" s="6" t="inlineStr">
        <is>
          <t>外协管理</t>
        </is>
      </c>
      <c r="C16" s="6" t="inlineStr">
        <is>
          <t>外协入库、结算</t>
        </is>
      </c>
      <c r="D16" s="6" t="inlineStr">
        <is>
          <t>外协→成本归集</t>
        </is>
      </c>
      <c r="E16" s="6" t="inlineStr">
        <is>
          <t>事件触发</t>
        </is>
      </c>
    </row>
    <row r="17">
      <c r="A17" s="8" t="inlineStr">
        <is>
          <t>【财务对接】</t>
        </is>
      </c>
    </row>
    <row r="18">
      <c r="A18" s="6" t="inlineStr">
        <is>
          <t>12</t>
        </is>
      </c>
      <c r="B18" s="6" t="inlineStr">
        <is>
          <t>财务系统</t>
        </is>
      </c>
      <c r="C18" s="6" t="inlineStr">
        <is>
          <t>成本凭证、收入确认</t>
        </is>
      </c>
      <c r="D18" s="6" t="inlineStr">
        <is>
          <t>成本→财务</t>
        </is>
      </c>
      <c r="E18" s="6" t="inlineStr">
        <is>
          <t>定期同步</t>
        </is>
      </c>
    </row>
    <row r="19">
      <c r="A19" s="7" t="inlineStr">
        <is>
          <t>13</t>
        </is>
      </c>
      <c r="B19" s="7" t="inlineStr">
        <is>
          <t>ERP系统</t>
        </is>
      </c>
      <c r="C19" s="7" t="inlineStr">
        <is>
          <t>项目成本、存货成本</t>
        </is>
      </c>
      <c r="D19" s="7" t="inlineStr">
        <is>
          <t>双向同步</t>
        </is>
      </c>
      <c r="E19" s="7" t="inlineStr">
        <is>
          <t>API</t>
        </is>
      </c>
    </row>
    <row r="21" ht="25" customHeight="1">
      <c r="A21" s="3" t="inlineStr">
        <is>
          <t>系统集成架构</t>
        </is>
      </c>
    </row>
    <row r="22">
      <c r="A22" s="4" t="inlineStr">
        <is>
          <t xml:space="preserve">
                              ┌─────────────────────────────────────────────┐
                              │            报价成本管理中心                  │
                              │  ┌─────────┐ ┌─────────┐ ┌─────────┐       │
                              │  │报价管理 │ │成本预算 │ │毛利分析 │       │
                              │  └─────────┘ └─────────┘ └─────────┘       │
                              └──────────────────┬────────────────────────┘
                                                 │
        ┌────────────────────────────────────────┼────────────────────────────────────┐
        │                                        │                                     │
        ▼                                        ▼                                     ▼
┌───────────────┐                      ┌───────────────┐                     ┌───────────────┐
│   上游系统    │                      │   执行系统    │                     │   下游系统    │
├───────────────┤                      ├───────────────┤                     ├───────────────┤
│ CRM/商机      │                      │ 采购系统      │                     │ 财务系统      │
│ 技术方案      │──────报价输入──────→│ 仓库系统      │──────成本归集──────→│ ERP系统       │
│ 价格库        │                      │ MES/生产      │                     │ 管理报表      │
│ 工时标准库    │                      │ 工时系统      │                     │               │
└───────────────┘                      │ 费用报销      │                     └───────────────┘
                                       │ 外协管理      │
                                       └───────────────┘
</t>
        </is>
      </c>
    </row>
    <row r="23"/>
    <row r="24"/>
    <row r="25"/>
    <row r="26"/>
    <row r="27"/>
    <row r="28"/>
    <row r="29"/>
    <row r="30"/>
  </sheetData>
  <mergeCells count="6">
    <mergeCell ref="A21:E21"/>
    <mergeCell ref="A22:E30"/>
    <mergeCell ref="A4:E4"/>
    <mergeCell ref="A1:E1"/>
    <mergeCell ref="A17:E17"/>
    <mergeCell ref="A9:E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15" customWidth="1" min="4" max="4"/>
    <col width="25" customWidth="1" min="5" max="5"/>
  </cols>
  <sheetData>
    <row r="1" ht="35" customHeight="1">
      <c r="A1" s="1" t="inlineStr">
        <is>
          <t>报价成本模块实施计划</t>
        </is>
      </c>
    </row>
    <row r="3">
      <c r="A3" s="5" t="inlineStr">
        <is>
          <t>阶段</t>
        </is>
      </c>
      <c r="B3" s="5" t="inlineStr">
        <is>
          <t>时间</t>
        </is>
      </c>
      <c r="C3" s="5" t="inlineStr">
        <is>
          <t>主要内容</t>
        </is>
      </c>
      <c r="D3" s="5" t="inlineStr">
        <is>
          <t>交付物</t>
        </is>
      </c>
      <c r="E3" s="5" t="inlineStr">
        <is>
          <t>备注</t>
        </is>
      </c>
    </row>
    <row r="4">
      <c r="A4" s="6" t="inlineStr">
        <is>
          <t>第一阶段</t>
        </is>
      </c>
      <c r="B4" s="6" t="inlineStr">
        <is>
          <t>第1-3周</t>
        </is>
      </c>
      <c r="C4" s="6" t="inlineStr">
        <is>
          <t>报价单管理：创建、编辑、版本管理、审批流程</t>
        </is>
      </c>
      <c r="D4" s="6" t="inlineStr">
        <is>
          <t>报价MVP</t>
        </is>
      </c>
      <c r="E4" s="6" t="inlineStr">
        <is>
          <t>核心功能</t>
        </is>
      </c>
    </row>
    <row r="5">
      <c r="A5" s="7" t="inlineStr">
        <is>
          <t>第二阶段</t>
        </is>
      </c>
      <c r="B5" s="7" t="inlineStr">
        <is>
          <t>第4-6周</t>
        </is>
      </c>
      <c r="C5" s="7" t="inlineStr">
        <is>
          <t>成本估算：报价模板、工时标准库、材料估算</t>
        </is>
      </c>
      <c r="D5" s="7" t="inlineStr">
        <is>
          <t>估算功能</t>
        </is>
      </c>
      <c r="E5" s="7" t="inlineStr">
        <is>
          <t>提升报价准确性</t>
        </is>
      </c>
    </row>
    <row r="6">
      <c r="A6" s="6" t="inlineStr">
        <is>
          <t>第三阶段</t>
        </is>
      </c>
      <c r="B6" s="6" t="inlineStr">
        <is>
          <t>第7-9周</t>
        </is>
      </c>
      <c r="C6" s="6" t="inlineStr">
        <is>
          <t>项目成本：预算管理、成本归集、预算对比</t>
        </is>
      </c>
      <c r="D6" s="6" t="inlineStr">
        <is>
          <t>成本管理</t>
        </is>
      </c>
      <c r="E6" s="6" t="inlineStr">
        <is>
          <t>与执行系统集成</t>
        </is>
      </c>
    </row>
    <row r="7">
      <c r="A7" s="7" t="inlineStr">
        <is>
          <t>第四阶段</t>
        </is>
      </c>
      <c r="B7" s="7" t="inlineStr">
        <is>
          <t>第10-12周</t>
        </is>
      </c>
      <c r="C7" s="7" t="inlineStr">
        <is>
          <t>毛利分析：项目毛利、客户毛利、产品毛利报表</t>
        </is>
      </c>
      <c r="D7" s="7" t="inlineStr">
        <is>
          <t>分析报表</t>
        </is>
      </c>
      <c r="E7" s="7" t="inlineStr">
        <is>
          <t>管理决策支持</t>
        </is>
      </c>
    </row>
    <row r="8">
      <c r="A8" s="6" t="inlineStr">
        <is>
          <t>第五阶段</t>
        </is>
      </c>
      <c r="B8" s="6" t="inlineStr">
        <is>
          <t>第13-14周</t>
        </is>
      </c>
      <c r="C8" s="6" t="inlineStr">
        <is>
          <t>数据沉淀：历史数据库、报价参考、持续优化</t>
        </is>
      </c>
      <c r="D8" s="6" t="inlineStr">
        <is>
          <t>知识库</t>
        </is>
      </c>
      <c r="E8" s="6" t="inlineStr">
        <is>
          <t>持续改进</t>
        </is>
      </c>
    </row>
    <row r="11" ht="25" customHeight="1">
      <c r="A11" s="3" t="inlineStr">
        <is>
          <t>关键成功因素</t>
        </is>
      </c>
    </row>
    <row r="12">
      <c r="A12" t="inlineStr">
        <is>
          <t>1. 数据准确性：物料价格、工时标准等基础数据要准确、及时更新</t>
        </is>
      </c>
    </row>
    <row r="13">
      <c r="A13" t="inlineStr">
        <is>
          <t>2. 流程规范：报价审批流程要严格执行，特别是低毛利项目</t>
        </is>
      </c>
    </row>
    <row r="14">
      <c r="A14" t="inlineStr">
        <is>
          <t>3. 系统集成：与采购、生产、财务等系统的数据打通是关键</t>
        </is>
      </c>
    </row>
    <row r="15">
      <c r="A15" t="inlineStr">
        <is>
          <t>4. 成本意识：培养全员成本意识，及时、准确归集成本</t>
        </is>
      </c>
    </row>
    <row r="16">
      <c r="A16" t="inlineStr">
        <is>
          <t>5. 持续优化：基于历史数据持续优化报价模型和工时标准</t>
        </is>
      </c>
    </row>
    <row r="17">
      <c r="A17" t="inlineStr">
        <is>
          <t>6. 领导支持：成本管控需要管理层高度重视和推动</t>
        </is>
      </c>
    </row>
    <row r="20" ht="25" customHeight="1">
      <c r="A20" s="3" t="inlineStr">
        <is>
          <t>实施风险与应对</t>
        </is>
      </c>
    </row>
    <row r="21">
      <c r="A21" s="5" t="inlineStr">
        <is>
          <t>风险</t>
        </is>
      </c>
      <c r="B21" s="5" t="inlineStr">
        <is>
          <t>影响</t>
        </is>
      </c>
      <c r="C21" s="5" t="inlineStr">
        <is>
          <t>应对措施</t>
        </is>
      </c>
    </row>
    <row r="22">
      <c r="A22" s="6" t="inlineStr">
        <is>
          <t>基础数据不准确</t>
        </is>
      </c>
      <c r="B22" s="6" t="inlineStr">
        <is>
          <t>报价偏差大</t>
        </is>
      </c>
      <c r="C22" s="6" t="inlineStr">
        <is>
          <t>建立价格库维护机制，定期更新</t>
        </is>
      </c>
    </row>
    <row r="23">
      <c r="A23" s="7" t="inlineStr">
        <is>
          <t>系统集成复杂</t>
        </is>
      </c>
      <c r="B23" s="7" t="inlineStr">
        <is>
          <t>成本归集不及时</t>
        </is>
      </c>
      <c r="C23" s="7" t="inlineStr">
        <is>
          <t>分阶段集成，优先核心系统</t>
        </is>
      </c>
    </row>
    <row r="24">
      <c r="A24" s="6" t="inlineStr">
        <is>
          <t>业务部门配合度</t>
        </is>
      </c>
      <c r="B24" s="6" t="inlineStr">
        <is>
          <t>数据录入不及时</t>
        </is>
      </c>
      <c r="C24" s="6" t="inlineStr">
        <is>
          <t>领导推动，纳入绩效考核</t>
        </is>
      </c>
    </row>
    <row r="25">
      <c r="A25" s="7" t="inlineStr">
        <is>
          <t>历史数据缺失</t>
        </is>
      </c>
      <c r="B25" s="7" t="inlineStr">
        <is>
          <t>缺乏参考依据</t>
        </is>
      </c>
      <c r="C25" s="7" t="inlineStr">
        <is>
          <t>从现在开始积累，逐步完善</t>
        </is>
      </c>
    </row>
  </sheetData>
  <mergeCells count="3">
    <mergeCell ref="A11:E11"/>
    <mergeCell ref="A1:E1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2026-01-04T12:11:23Z</dcterms:created>
  <dcterms:modified xmlns:dcterms="http://purl.org/dc/terms/" xmlns:xsi="http://www.w3.org/2001/XMLSchema-instance" xsi:type="dcterms:W3CDTF">2026-01-04T12:11:23Z</dcterms:modified>
</cp:coreProperties>
</file>
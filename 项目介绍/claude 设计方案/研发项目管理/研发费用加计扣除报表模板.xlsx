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政策说明" sheetId="1" state="visible" r:id="rId1"/>
    <sheet xmlns:r="http://schemas.openxmlformats.org/officeDocument/2006/relationships" name="2-加计扣除汇总表" sheetId="2" state="visible" r:id="rId2"/>
    <sheet xmlns:r="http://schemas.openxmlformats.org/officeDocument/2006/relationships" name="3-项目费用明细表" sheetId="3" state="visible" r:id="rId3"/>
    <sheet xmlns:r="http://schemas.openxmlformats.org/officeDocument/2006/relationships" name="4-人工费用明细" sheetId="4" state="visible" r:id="rId4"/>
    <sheet xmlns:r="http://schemas.openxmlformats.org/officeDocument/2006/relationships" name="5-直接投入明细" sheetId="5" state="visible" r:id="rId5"/>
    <sheet xmlns:r="http://schemas.openxmlformats.org/officeDocument/2006/relationships" name="6-折旧摊销明细" sheetId="6" state="visible" r:id="rId6"/>
    <sheet xmlns:r="http://schemas.openxmlformats.org/officeDocument/2006/relationships" name="7-委托外部明细" sheetId="7" state="visible" r:id="rId7"/>
    <sheet xmlns:r="http://schemas.openxmlformats.org/officeDocument/2006/relationships" name="8-项目立项清单" sheetId="8" state="visible" r:id="rId8"/>
    <sheet xmlns:r="http://schemas.openxmlformats.org/officeDocument/2006/relationships" name="9-编制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b val="1"/>
      <sz val="14"/>
    </font>
    <font>
      <name val="微软雅黑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00B0F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4" fillId="3" borderId="1" pivotButton="0" quotePrefix="0" xfId="0"/>
    <xf numFmtId="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  <col width="25" customWidth="1" min="3" max="3"/>
  </cols>
  <sheetData>
    <row r="1">
      <c r="A1" s="1" t="inlineStr">
        <is>
          <t>研发费用加计扣除政策说明</t>
        </is>
      </c>
    </row>
    <row r="3">
      <c r="A3" s="2" t="inlineStr">
        <is>
          <t>一、政策依据</t>
        </is>
      </c>
    </row>
    <row r="4">
      <c r="A4" t="inlineStr">
        <is>
          <t>1. 《中华人民共和国企业所得税法》第三十条</t>
        </is>
      </c>
    </row>
    <row r="5">
      <c r="A5" t="inlineStr">
        <is>
          <t>2. 《财政部 国家税务总局 科技部关于完善研究开发费用税前加计扣除政策的通知》(财税〔2015〕119号)</t>
        </is>
      </c>
    </row>
    <row r="6">
      <c r="A6" t="inlineStr">
        <is>
          <t>3. 《国家税务总局关于研发费用税前加计扣除归集范围有关问题的公告》(国家税务总局公告2017年第40号)</t>
        </is>
      </c>
    </row>
    <row r="7">
      <c r="A7" t="inlineStr">
        <is>
          <t>4. 《财政部 税务总局关于进一步完善研发费用税前加计扣除政策的公告》(财政部 税务总局公告2023年第7号)</t>
        </is>
      </c>
    </row>
    <row r="10">
      <c r="A10" s="2" t="inlineStr">
        <is>
          <t>二、加计扣除比例（2023年起）</t>
        </is>
      </c>
    </row>
    <row r="11">
      <c r="A11" s="3" t="inlineStr">
        <is>
          <t>企业类型</t>
        </is>
      </c>
      <c r="B11" s="3" t="inlineStr">
        <is>
          <t>加计扣除比例</t>
        </is>
      </c>
      <c r="C11" s="3" t="inlineStr">
        <is>
          <t>说明</t>
        </is>
      </c>
    </row>
    <row r="12">
      <c r="A12" s="4" t="inlineStr">
        <is>
          <t>制造业企业</t>
        </is>
      </c>
      <c r="B12" s="4" t="inlineStr">
        <is>
          <t>100%</t>
        </is>
      </c>
      <c r="C12" s="4" t="inlineStr">
        <is>
          <t>研发费用可按100%加计扣除</t>
        </is>
      </c>
    </row>
    <row r="13">
      <c r="A13" s="4" t="inlineStr">
        <is>
          <t>科技型中小企业</t>
        </is>
      </c>
      <c r="B13" s="4" t="inlineStr">
        <is>
          <t>100%</t>
        </is>
      </c>
      <c r="C13" s="4" t="inlineStr">
        <is>
          <t>研发费用可按100%加计扣除</t>
        </is>
      </c>
    </row>
    <row r="14">
      <c r="A14" s="4" t="inlineStr">
        <is>
          <t>其他企业</t>
        </is>
      </c>
      <c r="B14" s="4" t="inlineStr">
        <is>
          <t>100%</t>
        </is>
      </c>
      <c r="C14" s="4" t="inlineStr">
        <is>
          <t>2023年起统一为100%</t>
        </is>
      </c>
    </row>
    <row r="17">
      <c r="A17" s="2" t="inlineStr">
        <is>
          <t>三、可加计扣除的研发费用范围</t>
        </is>
      </c>
    </row>
    <row r="18">
      <c r="A18" s="5" t="inlineStr">
        <is>
          <t>费用类别</t>
        </is>
      </c>
      <c r="B18" s="6" t="inlineStr">
        <is>
          <t>具体内容</t>
        </is>
      </c>
      <c r="C18" s="6" t="inlineStr">
        <is>
          <t>归集要求</t>
        </is>
      </c>
    </row>
    <row r="19">
      <c r="A19" s="7" t="inlineStr">
        <is>
          <t>1.人员人工费用</t>
        </is>
      </c>
      <c r="B19" s="8" t="inlineStr">
        <is>
          <t>直接从事研发活动人员的工资薪金、基本养老保险费、基本医疗保险费、失业保险费、工伤保险费、生育保险费和住房公积金，以及外聘研发人员的劳务费用</t>
        </is>
      </c>
      <c r="C19" s="8" t="inlineStr">
        <is>
          <t>按工时分摊到项目</t>
        </is>
      </c>
    </row>
    <row r="20">
      <c r="A20" s="7" t="inlineStr">
        <is>
          <t>2.直接投入费用</t>
        </is>
      </c>
      <c r="B20" s="8" t="inlineStr">
        <is>
          <t>(1)研发活动直接消耗的材料、燃料和动力费用
(2)用于中间试验和产品试制的模具、工艺装备开发及制造费
(3)不构成固定资产的样品、样机及一般测试手段购置费
(4)试制产品的检验费
(5)用于研发活动的仪器、设备的运行维护、调整、检验、维修等费用
(6)通过经营租赁方式租入的用于研发活动的仪器、设备租赁费</t>
        </is>
      </c>
      <c r="C20" s="8" t="inlineStr">
        <is>
          <t>直接归集或分摊</t>
        </is>
      </c>
    </row>
    <row r="21">
      <c r="A21" s="7" t="inlineStr">
        <is>
          <t>3.折旧费用</t>
        </is>
      </c>
      <c r="B21" s="8" t="inlineStr">
        <is>
          <t>用于研发活动的仪器、设备的折旧费</t>
        </is>
      </c>
      <c r="C21" s="8" t="inlineStr">
        <is>
          <t>按使用时间分摊</t>
        </is>
      </c>
    </row>
    <row r="22">
      <c r="A22" s="7" t="inlineStr">
        <is>
          <t>4.无形资产摊销</t>
        </is>
      </c>
      <c r="B22" s="8" t="inlineStr">
        <is>
          <t>用于研发活动的软件、专利权、非专利技术（包括许可证、专有技术、设计和计算方法等）的摊销费用</t>
        </is>
      </c>
      <c r="C22" s="8" t="inlineStr">
        <is>
          <t>按使用时间分摊</t>
        </is>
      </c>
    </row>
    <row r="23">
      <c r="A23" s="7" t="inlineStr">
        <is>
          <t>5.新产品设计费等</t>
        </is>
      </c>
      <c r="B23" s="8" t="inlineStr">
        <is>
          <t>新产品设计费、新工艺规程制定费、新药研制的临床试验费、勘探开发技术的现场试验费</t>
        </is>
      </c>
      <c r="C23" s="8" t="inlineStr">
        <is>
          <t>直接归集</t>
        </is>
      </c>
    </row>
    <row r="24">
      <c r="A24" s="7" t="inlineStr">
        <is>
          <t>6.其他相关费用</t>
        </is>
      </c>
      <c r="B24" s="8" t="inlineStr">
        <is>
          <t>与研发活动直接相关的其他费用，如技术图书资料费、资料翻译费、专家咨询费、高新科技研发保险费，研发成果的检索、分析、评议、论证、鉴定、评审、评估、验收费用，知识产权的申请费、注册费、代理费，差旅费、会议费，职工福利费、补充养老保险费、补充医疗保险费</t>
        </is>
      </c>
      <c r="C24" s="8" t="inlineStr">
        <is>
          <t>不超过可加计扣除研发费用总额的10%</t>
        </is>
      </c>
    </row>
    <row r="25">
      <c r="A25" s="7" t="inlineStr">
        <is>
          <t>7.委托外部研发</t>
        </is>
      </c>
      <c r="B25" s="8" t="inlineStr">
        <is>
          <t>企业委托境内外部机构或个人进行研发活动所发生的费用</t>
        </is>
      </c>
      <c r="C25" s="8" t="inlineStr">
        <is>
          <t>按照费用实际发生额的80%计入委托方研发费用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研发费用加计扣除汇总表</t>
        </is>
      </c>
    </row>
    <row r="2">
      <c r="A2" t="inlineStr">
        <is>
          <t>纳税年度：2025年</t>
        </is>
      </c>
      <c r="D2" s="9" t="inlineStr">
        <is>
          <t>单位：元</t>
        </is>
      </c>
    </row>
    <row r="4">
      <c r="A4" s="3" t="inlineStr">
        <is>
          <t>序号</t>
        </is>
      </c>
      <c r="B4" s="3" t="inlineStr">
        <is>
          <t>项目</t>
        </is>
      </c>
      <c r="C4" s="3" t="inlineStr">
        <is>
          <t>本年发生额</t>
        </is>
      </c>
      <c r="D4" s="3" t="inlineStr">
        <is>
          <t>其中：费用化支出</t>
        </is>
      </c>
      <c r="E4" s="3" t="inlineStr">
        <is>
          <t>其中：资本化支出</t>
        </is>
      </c>
    </row>
    <row r="5">
      <c r="A5" s="4" t="inlineStr">
        <is>
          <t>一</t>
        </is>
      </c>
      <c r="B5" s="8" t="inlineStr">
        <is>
          <t>人员人工费用</t>
        </is>
      </c>
      <c r="C5" s="10" t="inlineStr"/>
      <c r="D5" s="10" t="inlineStr"/>
      <c r="E5" s="10" t="inlineStr"/>
    </row>
    <row r="6">
      <c r="A6" s="4" t="inlineStr">
        <is>
          <t>1</t>
        </is>
      </c>
      <c r="B6" s="8" t="inlineStr">
        <is>
          <t xml:space="preserve">  直接从事研发活动人员工资薪金</t>
        </is>
      </c>
      <c r="C6" s="10" t="inlineStr"/>
      <c r="D6" s="10" t="inlineStr"/>
      <c r="E6" s="10" t="inlineStr"/>
    </row>
    <row r="7">
      <c r="A7" s="4" t="inlineStr">
        <is>
          <t>2</t>
        </is>
      </c>
      <c r="B7" s="8" t="inlineStr">
        <is>
          <t xml:space="preserve">  直接从事研发活动人员五险一金</t>
        </is>
      </c>
      <c r="C7" s="10" t="inlineStr"/>
      <c r="D7" s="10" t="inlineStr"/>
      <c r="E7" s="10" t="inlineStr"/>
    </row>
    <row r="8">
      <c r="A8" s="4" t="inlineStr">
        <is>
          <t>3</t>
        </is>
      </c>
      <c r="B8" s="8" t="inlineStr">
        <is>
          <t xml:space="preserve">  外聘研发人员的劳务费用</t>
        </is>
      </c>
      <c r="C8" s="10" t="inlineStr"/>
      <c r="D8" s="10" t="inlineStr"/>
      <c r="E8" s="10" t="inlineStr"/>
    </row>
    <row r="9">
      <c r="A9" s="4" t="inlineStr">
        <is>
          <t>二</t>
        </is>
      </c>
      <c r="B9" s="8" t="inlineStr">
        <is>
          <t>直接投入费用</t>
        </is>
      </c>
      <c r="C9" s="10" t="inlineStr"/>
      <c r="D9" s="10" t="inlineStr"/>
      <c r="E9" s="10" t="inlineStr"/>
    </row>
    <row r="10">
      <c r="A10" s="4" t="inlineStr">
        <is>
          <t>4</t>
        </is>
      </c>
      <c r="B10" s="8" t="inlineStr">
        <is>
          <t xml:space="preserve">  研发活动直接消耗的材料费用</t>
        </is>
      </c>
      <c r="C10" s="10" t="inlineStr"/>
      <c r="D10" s="10" t="inlineStr"/>
      <c r="E10" s="10" t="inlineStr"/>
    </row>
    <row r="11">
      <c r="A11" s="4" t="inlineStr">
        <is>
          <t>5</t>
        </is>
      </c>
      <c r="B11" s="8" t="inlineStr">
        <is>
          <t xml:space="preserve">  研发活动直接消耗的燃料和动力费用</t>
        </is>
      </c>
      <c r="C11" s="10" t="inlineStr"/>
      <c r="D11" s="10" t="inlineStr"/>
      <c r="E11" s="10" t="inlineStr"/>
    </row>
    <row r="12">
      <c r="A12" s="4" t="inlineStr">
        <is>
          <t>6</t>
        </is>
      </c>
      <c r="B12" s="8" t="inlineStr">
        <is>
          <t xml:space="preserve">  用于中间试验和产品试制的模具、工艺装备开发及制造费</t>
        </is>
      </c>
      <c r="C12" s="10" t="inlineStr"/>
      <c r="D12" s="10" t="inlineStr"/>
      <c r="E12" s="10" t="inlineStr"/>
    </row>
    <row r="13">
      <c r="A13" s="4" t="inlineStr">
        <is>
          <t>7</t>
        </is>
      </c>
      <c r="B13" s="8" t="inlineStr">
        <is>
          <t xml:space="preserve">  用于研发活动的仪器、设备的运行维护费</t>
        </is>
      </c>
      <c r="C13" s="10" t="inlineStr"/>
      <c r="D13" s="10" t="inlineStr"/>
      <c r="E13" s="10" t="inlineStr"/>
    </row>
    <row r="14">
      <c r="A14" s="4" t="inlineStr">
        <is>
          <t>8</t>
        </is>
      </c>
      <c r="B14" s="8" t="inlineStr">
        <is>
          <t xml:space="preserve">  用于研发活动的仪器、设备的租赁费</t>
        </is>
      </c>
      <c r="C14" s="10" t="inlineStr"/>
      <c r="D14" s="10" t="inlineStr"/>
      <c r="E14" s="10" t="inlineStr"/>
    </row>
    <row r="15">
      <c r="A15" s="4" t="inlineStr">
        <is>
          <t>三</t>
        </is>
      </c>
      <c r="B15" s="8" t="inlineStr">
        <is>
          <t>折旧费用</t>
        </is>
      </c>
      <c r="C15" s="10" t="inlineStr"/>
      <c r="D15" s="10" t="inlineStr"/>
      <c r="E15" s="10" t="inlineStr"/>
    </row>
    <row r="16">
      <c r="A16" s="4" t="inlineStr">
        <is>
          <t>9</t>
        </is>
      </c>
      <c r="B16" s="8" t="inlineStr">
        <is>
          <t xml:space="preserve">  用于研发活动的仪器的折旧费</t>
        </is>
      </c>
      <c r="C16" s="10" t="inlineStr"/>
      <c r="D16" s="10" t="inlineStr"/>
      <c r="E16" s="10" t="inlineStr"/>
    </row>
    <row r="17">
      <c r="A17" s="4" t="inlineStr">
        <is>
          <t>10</t>
        </is>
      </c>
      <c r="B17" s="8" t="inlineStr">
        <is>
          <t xml:space="preserve">  用于研发活动的设备的折旧费</t>
        </is>
      </c>
      <c r="C17" s="10" t="inlineStr"/>
      <c r="D17" s="10" t="inlineStr"/>
      <c r="E17" s="10" t="inlineStr"/>
    </row>
    <row r="18">
      <c r="A18" s="4" t="inlineStr">
        <is>
          <t>四</t>
        </is>
      </c>
      <c r="B18" s="8" t="inlineStr">
        <is>
          <t>无形资产摊销</t>
        </is>
      </c>
      <c r="C18" s="10" t="inlineStr"/>
      <c r="D18" s="10" t="inlineStr"/>
      <c r="E18" s="10" t="inlineStr"/>
    </row>
    <row r="19">
      <c r="A19" s="4" t="inlineStr">
        <is>
          <t>11</t>
        </is>
      </c>
      <c r="B19" s="8" t="inlineStr">
        <is>
          <t xml:space="preserve">  用于研发活动的软件摊销费</t>
        </is>
      </c>
      <c r="C19" s="10" t="inlineStr"/>
      <c r="D19" s="10" t="inlineStr"/>
      <c r="E19" s="10" t="inlineStr"/>
    </row>
    <row r="20">
      <c r="A20" s="4" t="inlineStr">
        <is>
          <t>12</t>
        </is>
      </c>
      <c r="B20" s="8" t="inlineStr">
        <is>
          <t xml:space="preserve">  用于研发活动的专利权摊销费</t>
        </is>
      </c>
      <c r="C20" s="10" t="inlineStr"/>
      <c r="D20" s="10" t="inlineStr"/>
      <c r="E20" s="10" t="inlineStr"/>
    </row>
    <row r="21">
      <c r="A21" s="4" t="inlineStr">
        <is>
          <t>五</t>
        </is>
      </c>
      <c r="B21" s="8" t="inlineStr">
        <is>
          <t>新产品设计费等</t>
        </is>
      </c>
      <c r="C21" s="10" t="inlineStr"/>
      <c r="D21" s="10" t="inlineStr"/>
      <c r="E21" s="10" t="inlineStr"/>
    </row>
    <row r="22">
      <c r="A22" s="4" t="inlineStr">
        <is>
          <t>13</t>
        </is>
      </c>
      <c r="B22" s="8" t="inlineStr">
        <is>
          <t xml:space="preserve">  新产品设计费</t>
        </is>
      </c>
      <c r="C22" s="10" t="inlineStr"/>
      <c r="D22" s="10" t="inlineStr"/>
      <c r="E22" s="10" t="inlineStr"/>
    </row>
    <row r="23">
      <c r="A23" s="4" t="inlineStr">
        <is>
          <t>14</t>
        </is>
      </c>
      <c r="B23" s="8" t="inlineStr">
        <is>
          <t xml:space="preserve">  新工艺规程制定费</t>
        </is>
      </c>
      <c r="C23" s="10" t="inlineStr"/>
      <c r="D23" s="10" t="inlineStr"/>
      <c r="E23" s="10" t="inlineStr"/>
    </row>
    <row r="24">
      <c r="A24" s="4" t="inlineStr">
        <is>
          <t>六</t>
        </is>
      </c>
      <c r="B24" s="8" t="inlineStr">
        <is>
          <t>其他相关费用</t>
        </is>
      </c>
      <c r="C24" s="10" t="inlineStr"/>
      <c r="D24" s="10" t="inlineStr"/>
      <c r="E24" s="10" t="inlineStr"/>
    </row>
    <row r="25">
      <c r="A25" s="4" t="inlineStr">
        <is>
          <t>15</t>
        </is>
      </c>
      <c r="B25" s="8" t="inlineStr">
        <is>
          <t xml:space="preserve">  技术图书资料费、资料翻译费</t>
        </is>
      </c>
      <c r="C25" s="10" t="inlineStr"/>
      <c r="D25" s="10" t="inlineStr"/>
      <c r="E25" s="10" t="inlineStr"/>
    </row>
    <row r="26">
      <c r="A26" s="4" t="inlineStr">
        <is>
          <t>16</t>
        </is>
      </c>
      <c r="B26" s="8" t="inlineStr">
        <is>
          <t xml:space="preserve">  专家咨询费</t>
        </is>
      </c>
      <c r="C26" s="10" t="inlineStr"/>
      <c r="D26" s="10" t="inlineStr"/>
      <c r="E26" s="10" t="inlineStr"/>
    </row>
    <row r="27">
      <c r="A27" s="4" t="inlineStr">
        <is>
          <t>17</t>
        </is>
      </c>
      <c r="B27" s="8" t="inlineStr">
        <is>
          <t xml:space="preserve">  知识产权申请费、注册费、代理费</t>
        </is>
      </c>
      <c r="C27" s="10" t="inlineStr"/>
      <c r="D27" s="10" t="inlineStr"/>
      <c r="E27" s="10" t="inlineStr"/>
    </row>
    <row r="28">
      <c r="A28" s="4" t="inlineStr">
        <is>
          <t>18</t>
        </is>
      </c>
      <c r="B28" s="8" t="inlineStr">
        <is>
          <t xml:space="preserve">  差旅费、会议费</t>
        </is>
      </c>
      <c r="C28" s="10" t="inlineStr"/>
      <c r="D28" s="10" t="inlineStr"/>
      <c r="E28" s="10" t="inlineStr"/>
    </row>
    <row r="29">
      <c r="A29" s="4" t="inlineStr">
        <is>
          <t>19</t>
        </is>
      </c>
      <c r="B29" s="8" t="inlineStr">
        <is>
          <t xml:space="preserve">  其他</t>
        </is>
      </c>
      <c r="C29" s="10" t="inlineStr"/>
      <c r="D29" s="10" t="inlineStr"/>
      <c r="E29" s="10" t="inlineStr"/>
    </row>
    <row r="30">
      <c r="A30" s="11" t="inlineStr"/>
      <c r="B30" s="12" t="inlineStr">
        <is>
          <t xml:space="preserve">  其他相关费用小计</t>
        </is>
      </c>
      <c r="C30" s="13" t="inlineStr"/>
      <c r="D30" s="13" t="inlineStr"/>
      <c r="E30" s="13" t="inlineStr"/>
    </row>
    <row r="31">
      <c r="A31" s="11" t="inlineStr"/>
      <c r="B31" s="12" t="inlineStr">
        <is>
          <t xml:space="preserve">  其他相关费用限额（不超过可加计扣除研发费用总额的10%）</t>
        </is>
      </c>
      <c r="C31" s="13" t="inlineStr"/>
      <c r="D31" s="13" t="inlineStr"/>
      <c r="E31" s="13" t="inlineStr"/>
    </row>
    <row r="32">
      <c r="A32" s="11" t="inlineStr"/>
      <c r="B32" s="12" t="inlineStr">
        <is>
          <t xml:space="preserve">  其他相关费用允许扣除金额</t>
        </is>
      </c>
      <c r="C32" s="13" t="inlineStr"/>
      <c r="D32" s="13" t="inlineStr"/>
      <c r="E32" s="13" t="inlineStr"/>
    </row>
    <row r="33">
      <c r="A33" s="4" t="inlineStr">
        <is>
          <t>七</t>
        </is>
      </c>
      <c r="B33" s="8" t="inlineStr">
        <is>
          <t>委托外部研发费用</t>
        </is>
      </c>
      <c r="C33" s="10" t="inlineStr"/>
      <c r="D33" s="10" t="inlineStr"/>
      <c r="E33" s="10" t="inlineStr"/>
    </row>
    <row r="34">
      <c r="A34" s="4" t="inlineStr">
        <is>
          <t>20</t>
        </is>
      </c>
      <c r="B34" s="8" t="inlineStr">
        <is>
          <t xml:space="preserve">  委托境内机构或个人的研发费用（按80%计入）</t>
        </is>
      </c>
      <c r="C34" s="10" t="inlineStr"/>
      <c r="D34" s="10" t="inlineStr"/>
      <c r="E34" s="10" t="inlineStr"/>
    </row>
    <row r="35">
      <c r="A35" s="4" t="inlineStr">
        <is>
          <t>21</t>
        </is>
      </c>
      <c r="B35" s="8" t="inlineStr">
        <is>
          <t xml:space="preserve">  委托境外机构的研发费用（按80%计入，有限额）</t>
        </is>
      </c>
      <c r="C35" s="10" t="inlineStr"/>
      <c r="D35" s="10" t="inlineStr"/>
      <c r="E35" s="10" t="inlineStr"/>
    </row>
    <row r="36">
      <c r="A36" s="4" t="inlineStr"/>
      <c r="B36" s="8" t="inlineStr"/>
      <c r="C36" s="10" t="inlineStr"/>
      <c r="D36" s="10" t="inlineStr"/>
      <c r="E36" s="10" t="inlineStr"/>
    </row>
    <row r="37">
      <c r="A37" s="11" t="inlineStr"/>
      <c r="B37" s="12" t="inlineStr">
        <is>
          <t>研发费用合计（一+二+三+四+五+六+七）</t>
        </is>
      </c>
      <c r="C37" s="13" t="inlineStr"/>
      <c r="D37" s="13" t="inlineStr"/>
      <c r="E37" s="13" t="inlineStr"/>
    </row>
    <row r="38">
      <c r="A38" s="11" t="inlineStr"/>
      <c r="B38" s="12" t="inlineStr">
        <is>
          <t>加计扣除比例</t>
        </is>
      </c>
      <c r="C38" s="13" t="inlineStr">
        <is>
          <t>100%</t>
        </is>
      </c>
      <c r="D38" s="13" t="inlineStr"/>
      <c r="E38" s="13" t="inlineStr"/>
    </row>
    <row r="39">
      <c r="A39" s="11" t="inlineStr"/>
      <c r="B39" s="12" t="inlineStr">
        <is>
          <t>加计扣除金额</t>
        </is>
      </c>
      <c r="C39" s="13" t="inlineStr"/>
      <c r="D39" s="13" t="inlineStr"/>
      <c r="E39" s="1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研发项目费用明细表</t>
        </is>
      </c>
    </row>
    <row r="2">
      <c r="A2" t="inlineStr">
        <is>
          <t>纳税年度：2025年</t>
        </is>
      </c>
      <c r="K2" s="9" t="inlineStr">
        <is>
          <t>单位：元</t>
        </is>
      </c>
    </row>
    <row r="4">
      <c r="A4" s="3" t="inlineStr">
        <is>
          <t>序号</t>
        </is>
      </c>
      <c r="B4" s="3" t="inlineStr">
        <is>
          <t>项目编号</t>
        </is>
      </c>
      <c r="C4" s="3" t="inlineStr">
        <is>
          <t>项目名称</t>
        </is>
      </c>
      <c r="D4" s="3" t="inlineStr">
        <is>
          <t>项目类型</t>
        </is>
      </c>
      <c r="E4" s="3" t="inlineStr">
        <is>
          <t>起止时间</t>
        </is>
      </c>
      <c r="F4" s="3" t="inlineStr">
        <is>
          <t>人员人工</t>
        </is>
      </c>
      <c r="G4" s="3" t="inlineStr">
        <is>
          <t>直接投入</t>
        </is>
      </c>
      <c r="H4" s="3" t="inlineStr">
        <is>
          <t>折旧费用</t>
        </is>
      </c>
      <c r="I4" s="3" t="inlineStr">
        <is>
          <t>无形资产摊销</t>
        </is>
      </c>
      <c r="J4" s="3" t="inlineStr">
        <is>
          <t>其他费用</t>
        </is>
      </c>
      <c r="K4" s="3" t="inlineStr">
        <is>
          <t>委托外部</t>
        </is>
      </c>
      <c r="L4" s="3" t="inlineStr">
        <is>
          <t>费用合计</t>
        </is>
      </c>
    </row>
    <row r="5">
      <c r="A5" s="4" t="n">
        <v>1</v>
      </c>
      <c r="B5" s="4" t="inlineStr">
        <is>
          <t>RD2025-001</t>
        </is>
      </c>
      <c r="C5" s="4" t="inlineStr">
        <is>
          <t>智能视觉检测平台研发</t>
        </is>
      </c>
      <c r="D5" s="4" t="inlineStr">
        <is>
          <t>新产品研发</t>
        </is>
      </c>
      <c r="E5" s="4" t="inlineStr">
        <is>
          <t>2025.01-2025.12</t>
        </is>
      </c>
      <c r="F5" s="10" t="n">
        <v>280000</v>
      </c>
      <c r="G5" s="10" t="n">
        <v>150000</v>
      </c>
      <c r="H5" s="10" t="n">
        <v>45000</v>
      </c>
      <c r="I5" s="10" t="n">
        <v>12000</v>
      </c>
      <c r="J5" s="10" t="n">
        <v>25000</v>
      </c>
      <c r="K5" s="10" t="n">
        <v>60000</v>
      </c>
      <c r="L5" s="10">
        <f>SUM(F5:K5)</f>
        <v/>
      </c>
    </row>
    <row r="6">
      <c r="A6" s="4" t="n">
        <v>2</v>
      </c>
      <c r="B6" s="4" t="inlineStr">
        <is>
          <t>RD2025-002</t>
        </is>
      </c>
      <c r="C6" s="4" t="inlineStr">
        <is>
          <t>通用测试软件平台开发</t>
        </is>
      </c>
      <c r="D6" s="4" t="inlineStr">
        <is>
          <t>平台研发</t>
        </is>
      </c>
      <c r="E6" s="4" t="inlineStr">
        <is>
          <t>2025.03-2025.12</t>
        </is>
      </c>
      <c r="F6" s="10" t="n">
        <v>220000</v>
      </c>
      <c r="G6" s="10" t="n">
        <v>80000</v>
      </c>
      <c r="H6" s="10" t="n">
        <v>30000</v>
      </c>
      <c r="I6" s="10" t="n">
        <v>25000</v>
      </c>
      <c r="J6" s="10" t="n">
        <v>18000</v>
      </c>
      <c r="K6" s="10" t="n">
        <v>0</v>
      </c>
      <c r="L6" s="10">
        <f>SUM(F6:K6)</f>
        <v/>
      </c>
    </row>
    <row r="7">
      <c r="A7" s="4" t="n">
        <v>3</v>
      </c>
      <c r="B7" s="4" t="inlineStr">
        <is>
          <t>RD2025-003</t>
        </is>
      </c>
      <c r="C7" s="4" t="inlineStr">
        <is>
          <t>高速贴片机检测工艺研究</t>
        </is>
      </c>
      <c r="D7" s="4" t="inlineStr">
        <is>
          <t>工艺研发</t>
        </is>
      </c>
      <c r="E7" s="4" t="inlineStr">
        <is>
          <t>2025.05-2025.10</t>
        </is>
      </c>
      <c r="F7" s="10" t="n">
        <v>120000</v>
      </c>
      <c r="G7" s="10" t="n">
        <v>45000</v>
      </c>
      <c r="H7" s="10" t="n">
        <v>15000</v>
      </c>
      <c r="I7" s="10" t="n">
        <v>5000</v>
      </c>
      <c r="J7" s="10" t="n">
        <v>8000</v>
      </c>
      <c r="K7" s="10" t="n">
        <v>30000</v>
      </c>
      <c r="L7" s="10">
        <f>SUM(F7:K7)</f>
        <v/>
      </c>
    </row>
    <row r="8">
      <c r="A8" s="4" t="n">
        <v>4</v>
      </c>
      <c r="B8" s="4" t="inlineStr">
        <is>
          <t>RD2025-004</t>
        </is>
      </c>
      <c r="C8" s="4" t="inlineStr">
        <is>
          <t>XX产品测试效率提升技术改进</t>
        </is>
      </c>
      <c r="D8" s="4" t="inlineStr">
        <is>
          <t>技术改进</t>
        </is>
      </c>
      <c r="E8" s="4" t="inlineStr">
        <is>
          <t>2025.06-2025.09</t>
        </is>
      </c>
      <c r="F8" s="10" t="n">
        <v>80000</v>
      </c>
      <c r="G8" s="10" t="n">
        <v>25000</v>
      </c>
      <c r="H8" s="10" t="n">
        <v>8000</v>
      </c>
      <c r="I8" s="10" t="n">
        <v>3000</v>
      </c>
      <c r="J8" s="10" t="n">
        <v>5000</v>
      </c>
      <c r="K8" s="10" t="n">
        <v>0</v>
      </c>
      <c r="L8" s="10">
        <f>SUM(F8:K8)</f>
        <v/>
      </c>
    </row>
    <row r="9">
      <c r="A9" s="4" t="n">
        <v>5</v>
      </c>
      <c r="B9" s="4" t="inlineStr">
        <is>
          <t>RD2025-005</t>
        </is>
      </c>
      <c r="C9" s="4" t="inlineStr">
        <is>
          <t>BMS电池管理测试设备研发</t>
        </is>
      </c>
      <c r="D9" s="4" t="inlineStr">
        <is>
          <t>新产品研发</t>
        </is>
      </c>
      <c r="E9" s="4" t="inlineStr">
        <is>
          <t>2025.02-2025.12</t>
        </is>
      </c>
      <c r="F9" s="10" t="n">
        <v>350000</v>
      </c>
      <c r="G9" s="10" t="n">
        <v>200000</v>
      </c>
      <c r="H9" s="10" t="n">
        <v>55000</v>
      </c>
      <c r="I9" s="10" t="n">
        <v>18000</v>
      </c>
      <c r="J9" s="10" t="n">
        <v>32000</v>
      </c>
      <c r="K9" s="10" t="n">
        <v>80000</v>
      </c>
      <c r="L9" s="10">
        <f>SUM(F9:K9)</f>
        <v/>
      </c>
    </row>
    <row r="10">
      <c r="A10" s="14" t="inlineStr">
        <is>
          <t>合计</t>
        </is>
      </c>
      <c r="F10" s="13">
        <f>SUM(F5:F9)</f>
        <v/>
      </c>
      <c r="G10" s="13">
        <f>SUM(G5:G9)</f>
        <v/>
      </c>
      <c r="H10" s="13">
        <f>SUM(H5:H9)</f>
        <v/>
      </c>
      <c r="I10" s="13">
        <f>SUM(I5:I9)</f>
        <v/>
      </c>
      <c r="J10" s="13">
        <f>SUM(J5:J9)</f>
        <v/>
      </c>
      <c r="K10" s="13">
        <f>SUM(K5:K9)</f>
        <v/>
      </c>
      <c r="L10" s="13">
        <f>SUM(L5:L9)</f>
        <v/>
      </c>
    </row>
  </sheetData>
  <mergeCells count="2">
    <mergeCell ref="A10:E10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研发人员人工费用归集明细表</t>
        </is>
      </c>
    </row>
    <row r="2">
      <c r="A2" t="inlineStr">
        <is>
          <t>纳税年度：2025年</t>
        </is>
      </c>
      <c r="K2" t="inlineStr">
        <is>
          <t>单位：元</t>
        </is>
      </c>
    </row>
    <row r="4">
      <c r="A4" s="3" t="inlineStr">
        <is>
          <t>序号</t>
        </is>
      </c>
      <c r="B4" s="3" t="inlineStr">
        <is>
          <t>工号</t>
        </is>
      </c>
      <c r="C4" s="3" t="inlineStr">
        <is>
          <t>姓名</t>
        </is>
      </c>
      <c r="D4" s="3" t="inlineStr">
        <is>
          <t>部门</t>
        </is>
      </c>
      <c r="E4" s="3" t="inlineStr">
        <is>
          <t>岗位</t>
        </is>
      </c>
      <c r="F4" s="3" t="inlineStr">
        <is>
          <t>年度工资总额</t>
        </is>
      </c>
      <c r="G4" s="3" t="inlineStr">
        <is>
          <t>五险一金(企业)</t>
        </is>
      </c>
      <c r="H4" s="3" t="inlineStr">
        <is>
          <t>年度总成本</t>
        </is>
      </c>
      <c r="I4" s="3" t="inlineStr">
        <is>
          <t>研发工时</t>
        </is>
      </c>
      <c r="J4" s="3" t="inlineStr">
        <is>
          <t>总工时</t>
        </is>
      </c>
      <c r="K4" s="3" t="inlineStr">
        <is>
          <t>研发占比</t>
        </is>
      </c>
      <c r="L4" s="3" t="inlineStr">
        <is>
          <t>研发人工费</t>
        </is>
      </c>
    </row>
    <row r="5">
      <c r="A5" s="4" t="n">
        <v>1</v>
      </c>
      <c r="B5" s="4" t="inlineStr">
        <is>
          <t>E0001</t>
        </is>
      </c>
      <c r="C5" s="4" t="inlineStr">
        <is>
          <t>李学伟</t>
        </is>
      </c>
      <c r="D5" s="4" t="inlineStr">
        <is>
          <t>机械部</t>
        </is>
      </c>
      <c r="E5" s="4" t="inlineStr">
        <is>
          <t>机械工程师</t>
        </is>
      </c>
      <c r="F5" s="10" t="n">
        <v>180000</v>
      </c>
      <c r="G5" s="10" t="n">
        <v>43200</v>
      </c>
      <c r="H5" s="10">
        <f>F5+G5</f>
        <v/>
      </c>
      <c r="I5" s="15" t="n">
        <v>1680</v>
      </c>
      <c r="J5" s="15" t="n">
        <v>2112</v>
      </c>
      <c r="K5" s="16">
        <f>I5/J5</f>
        <v/>
      </c>
      <c r="L5" s="10">
        <f>H5*K5</f>
        <v/>
      </c>
    </row>
    <row r="6">
      <c r="A6" s="4" t="n">
        <v>2</v>
      </c>
      <c r="B6" s="4" t="inlineStr">
        <is>
          <t>E0002</t>
        </is>
      </c>
      <c r="C6" s="4" t="inlineStr">
        <is>
          <t>王永锋</t>
        </is>
      </c>
      <c r="D6" s="4" t="inlineStr">
        <is>
          <t>机械部</t>
        </is>
      </c>
      <c r="E6" s="4" t="inlineStr">
        <is>
          <t>机械工程师</t>
        </is>
      </c>
      <c r="F6" s="10" t="n">
        <v>170000</v>
      </c>
      <c r="G6" s="10" t="n">
        <v>40800</v>
      </c>
      <c r="H6" s="10">
        <f>F6+G6</f>
        <v/>
      </c>
      <c r="I6" s="15" t="n">
        <v>1440</v>
      </c>
      <c r="J6" s="15" t="n">
        <v>2112</v>
      </c>
      <c r="K6" s="16">
        <f>I6/J6</f>
        <v/>
      </c>
      <c r="L6" s="10">
        <f>H6*K6</f>
        <v/>
      </c>
    </row>
    <row r="7">
      <c r="A7" s="4" t="n">
        <v>3</v>
      </c>
      <c r="B7" s="4" t="inlineStr">
        <is>
          <t>E0003</t>
        </is>
      </c>
      <c r="C7" s="4" t="inlineStr">
        <is>
          <t>黄雷</t>
        </is>
      </c>
      <c r="D7" s="4" t="inlineStr">
        <is>
          <t>电气部</t>
        </is>
      </c>
      <c r="E7" s="4" t="inlineStr">
        <is>
          <t>电气工程师</t>
        </is>
      </c>
      <c r="F7" s="10" t="n">
        <v>200000</v>
      </c>
      <c r="G7" s="10" t="n">
        <v>48000</v>
      </c>
      <c r="H7" s="10">
        <f>F7+G7</f>
        <v/>
      </c>
      <c r="I7" s="15" t="n">
        <v>1920</v>
      </c>
      <c r="J7" s="15" t="n">
        <v>2112</v>
      </c>
      <c r="K7" s="16">
        <f>I7/J7</f>
        <v/>
      </c>
      <c r="L7" s="10">
        <f>H7*K7</f>
        <v/>
      </c>
    </row>
    <row r="8">
      <c r="A8" s="4" t="n">
        <v>4</v>
      </c>
      <c r="B8" s="4" t="inlineStr">
        <is>
          <t>E0004</t>
        </is>
      </c>
      <c r="C8" s="4" t="inlineStr">
        <is>
          <t>张桥</t>
        </is>
      </c>
      <c r="D8" s="4" t="inlineStr">
        <is>
          <t>测试部</t>
        </is>
      </c>
      <c r="E8" s="4" t="inlineStr">
        <is>
          <t>调试工程师</t>
        </is>
      </c>
      <c r="F8" s="10" t="n">
        <v>160000</v>
      </c>
      <c r="G8" s="10" t="n">
        <v>38400</v>
      </c>
      <c r="H8" s="10">
        <f>F8+G8</f>
        <v/>
      </c>
      <c r="I8" s="15" t="n">
        <v>1200</v>
      </c>
      <c r="J8" s="15" t="n">
        <v>2112</v>
      </c>
      <c r="K8" s="16">
        <f>I8/J8</f>
        <v/>
      </c>
      <c r="L8" s="10">
        <f>H8*K8</f>
        <v/>
      </c>
    </row>
    <row r="9">
      <c r="A9" s="4" t="n">
        <v>5</v>
      </c>
      <c r="B9" s="4" t="inlineStr">
        <is>
          <t>E0005</t>
        </is>
      </c>
      <c r="C9" s="4" t="inlineStr">
        <is>
          <t>刘明</t>
        </is>
      </c>
      <c r="D9" s="4" t="inlineStr">
        <is>
          <t>软件部</t>
        </is>
      </c>
      <c r="E9" s="4" t="inlineStr">
        <is>
          <t>软件工程师</t>
        </is>
      </c>
      <c r="F9" s="10" t="n">
        <v>220000</v>
      </c>
      <c r="G9" s="10" t="n">
        <v>52800</v>
      </c>
      <c r="H9" s="10">
        <f>F9+G9</f>
        <v/>
      </c>
      <c r="I9" s="15" t="n">
        <v>2000</v>
      </c>
      <c r="J9" s="15" t="n">
        <v>2112</v>
      </c>
      <c r="K9" s="16">
        <f>I9/J9</f>
        <v/>
      </c>
      <c r="L9" s="10">
        <f>H9*K9</f>
        <v/>
      </c>
    </row>
    <row r="10">
      <c r="A10" s="4" t="n">
        <v>6</v>
      </c>
      <c r="B10" s="4" t="inlineStr">
        <is>
          <t>E0006</t>
        </is>
      </c>
      <c r="C10" s="4" t="inlineStr">
        <is>
          <t>陈强</t>
        </is>
      </c>
      <c r="D10" s="4" t="inlineStr">
        <is>
          <t>测试部</t>
        </is>
      </c>
      <c r="E10" s="4" t="inlineStr">
        <is>
          <t>测试工程师</t>
        </is>
      </c>
      <c r="F10" s="10" t="n">
        <v>150000</v>
      </c>
      <c r="G10" s="10" t="n">
        <v>36000</v>
      </c>
      <c r="H10" s="10">
        <f>F10+G10</f>
        <v/>
      </c>
      <c r="I10" s="15" t="n">
        <v>1600</v>
      </c>
      <c r="J10" s="15" t="n">
        <v>2112</v>
      </c>
      <c r="K10" s="16">
        <f>I10/J10</f>
        <v/>
      </c>
      <c r="L10" s="10">
        <f>H10*K10</f>
        <v/>
      </c>
    </row>
    <row r="11">
      <c r="A11" s="14" t="inlineStr">
        <is>
          <t>合计</t>
        </is>
      </c>
      <c r="F11" s="17">
        <f>SUM(F5:F10)</f>
        <v/>
      </c>
      <c r="G11" s="17">
        <f>SUM(G5:G10)</f>
        <v/>
      </c>
      <c r="H11" s="17">
        <f>SUM(H5:H10)</f>
        <v/>
      </c>
      <c r="I11" s="17">
        <f>SUM(I5:I10)</f>
        <v/>
      </c>
      <c r="J11" s="17">
        <f>SUM(J5:J10)</f>
        <v/>
      </c>
      <c r="L11" s="17">
        <f>SUM(L5:L10)</f>
        <v/>
      </c>
    </row>
    <row r="13">
      <c r="A13" s="14" t="inlineStr">
        <is>
          <t>【说明】</t>
        </is>
      </c>
    </row>
    <row r="14">
      <c r="A14" t="inlineStr">
        <is>
          <t>1. 年度总工时 = 12个月 × 22天 × 8小时 = 2112小时（按标准工作日计算）</t>
        </is>
      </c>
    </row>
    <row r="15">
      <c r="A15" t="inlineStr">
        <is>
          <t>2. 研发占比 = 研发工时 ÷ 总工时，高新技术企业要求研发人员年度研发工时占比≥60%</t>
        </is>
      </c>
    </row>
    <row r="16">
      <c r="A16" t="inlineStr">
        <is>
          <t>3. 研发人工费 = 年度总成本 × 研发占比</t>
        </is>
      </c>
    </row>
    <row r="17">
      <c r="A17" t="inlineStr">
        <is>
          <t>4. 同一人员参与多个研发项目的，其人工费用需按工时进一步分摊到各项目</t>
        </is>
      </c>
    </row>
  </sheetData>
  <mergeCells count="2">
    <mergeCell ref="A11:E11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8" customWidth="1" min="4" max="4"/>
    <col width="25" customWidth="1" min="5" max="5"/>
    <col width="12" customWidth="1" min="6" max="6"/>
    <col width="16" customWidth="1" min="7" max="7"/>
    <col width="12" customWidth="1" min="8" max="8"/>
    <col width="20" customWidth="1" min="9" max="9"/>
  </cols>
  <sheetData>
    <row r="1">
      <c r="A1" s="1" t="inlineStr">
        <is>
          <t>研发直接投入费用明细表</t>
        </is>
      </c>
    </row>
    <row r="2">
      <c r="A2" t="inlineStr">
        <is>
          <t>纳税年度：2025年</t>
        </is>
      </c>
      <c r="H2" t="inlineStr">
        <is>
          <t>单位：元</t>
        </is>
      </c>
    </row>
    <row r="4">
      <c r="A4" s="3" t="inlineStr">
        <is>
          <t>序号</t>
        </is>
      </c>
      <c r="B4" s="3" t="inlineStr">
        <is>
          <t>费用类型</t>
        </is>
      </c>
      <c r="C4" s="3" t="inlineStr">
        <is>
          <t>项目编号</t>
        </is>
      </c>
      <c r="D4" s="3" t="inlineStr">
        <is>
          <t>项目名称</t>
        </is>
      </c>
      <c r="E4" s="3" t="inlineStr">
        <is>
          <t>费用说明</t>
        </is>
      </c>
      <c r="F4" s="3" t="inlineStr">
        <is>
          <t>金额</t>
        </is>
      </c>
      <c r="G4" s="3" t="inlineStr">
        <is>
          <t>发票/凭证号</t>
        </is>
      </c>
      <c r="H4" s="3" t="inlineStr">
        <is>
          <t>入账日期</t>
        </is>
      </c>
      <c r="I4" s="3" t="inlineStr">
        <is>
          <t>备注</t>
        </is>
      </c>
    </row>
    <row r="5">
      <c r="A5" s="4" t="n">
        <v>1</v>
      </c>
      <c r="B5" s="4" t="inlineStr">
        <is>
          <t>材料费</t>
        </is>
      </c>
      <c r="C5" s="8" t="inlineStr">
        <is>
          <t>RD2025-001</t>
        </is>
      </c>
      <c r="D5" s="8" t="inlineStr">
        <is>
          <t>智能视觉检测平台研发</t>
        </is>
      </c>
      <c r="E5" s="8" t="inlineStr">
        <is>
          <t>工业相机采购</t>
        </is>
      </c>
      <c r="F5" s="10" t="n">
        <v>35000</v>
      </c>
      <c r="G5" s="8" t="inlineStr">
        <is>
          <t>FP2025070001</t>
        </is>
      </c>
      <c r="H5" s="8" t="inlineStr">
        <is>
          <t>2025-07-15</t>
        </is>
      </c>
      <c r="I5" s="8" t="inlineStr">
        <is>
          <t>研发领料单001</t>
        </is>
      </c>
    </row>
    <row r="6">
      <c r="A6" s="4" t="n">
        <v>2</v>
      </c>
      <c r="B6" s="4" t="inlineStr">
        <is>
          <t>材料费</t>
        </is>
      </c>
      <c r="C6" s="8" t="inlineStr">
        <is>
          <t>RD2025-001</t>
        </is>
      </c>
      <c r="D6" s="8" t="inlineStr">
        <is>
          <t>智能视觉检测平台研发</t>
        </is>
      </c>
      <c r="E6" s="8" t="inlineStr">
        <is>
          <t>传感器及配件</t>
        </is>
      </c>
      <c r="F6" s="10" t="n">
        <v>28000</v>
      </c>
      <c r="G6" s="8" t="inlineStr">
        <is>
          <t>FP2025070002</t>
        </is>
      </c>
      <c r="H6" s="8" t="inlineStr">
        <is>
          <t>2025-07-18</t>
        </is>
      </c>
      <c r="I6" s="8" t="inlineStr">
        <is>
          <t>研发领料单002</t>
        </is>
      </c>
    </row>
    <row r="7">
      <c r="A7" s="4" t="n">
        <v>3</v>
      </c>
      <c r="B7" s="4" t="inlineStr">
        <is>
          <t>材料费</t>
        </is>
      </c>
      <c r="C7" s="8" t="inlineStr">
        <is>
          <t>RD2025-002</t>
        </is>
      </c>
      <c r="D7" s="8" t="inlineStr">
        <is>
          <t>通用测试软件平台开发</t>
        </is>
      </c>
      <c r="E7" s="8" t="inlineStr">
        <is>
          <t>测试板卡</t>
        </is>
      </c>
      <c r="F7" s="10" t="n">
        <v>15000</v>
      </c>
      <c r="G7" s="8" t="inlineStr">
        <is>
          <t>FP2025070003</t>
        </is>
      </c>
      <c r="H7" s="8" t="inlineStr">
        <is>
          <t>2025-07-20</t>
        </is>
      </c>
      <c r="I7" s="8" t="inlineStr">
        <is>
          <t>研发领料单003</t>
        </is>
      </c>
    </row>
    <row r="8">
      <c r="A8" s="4" t="n">
        <v>4</v>
      </c>
      <c r="B8" s="4" t="inlineStr">
        <is>
          <t>设备租赁</t>
        </is>
      </c>
      <c r="C8" s="8" t="inlineStr">
        <is>
          <t>RD2025-001</t>
        </is>
      </c>
      <c r="D8" s="8" t="inlineStr">
        <is>
          <t>智能视觉检测平台研发</t>
        </is>
      </c>
      <c r="E8" s="8" t="inlineStr">
        <is>
          <t>高精度检测仪租赁</t>
        </is>
      </c>
      <c r="F8" s="10" t="n">
        <v>12000</v>
      </c>
      <c r="G8" s="8" t="inlineStr">
        <is>
          <t>FP2025070004</t>
        </is>
      </c>
      <c r="H8" s="8" t="inlineStr">
        <is>
          <t>2025-07-25</t>
        </is>
      </c>
      <c r="I8" s="8" t="inlineStr">
        <is>
          <t>租赁合同001</t>
        </is>
      </c>
    </row>
    <row r="9">
      <c r="A9" s="4" t="n">
        <v>5</v>
      </c>
      <c r="B9" s="4" t="inlineStr">
        <is>
          <t>运维费</t>
        </is>
      </c>
      <c r="C9" s="8" t="inlineStr">
        <is>
          <t>RD2025-003</t>
        </is>
      </c>
      <c r="D9" s="8" t="inlineStr">
        <is>
          <t>高速贴片机检测工艺研究</t>
        </is>
      </c>
      <c r="E9" s="8" t="inlineStr">
        <is>
          <t>设备维护保养</t>
        </is>
      </c>
      <c r="F9" s="10" t="n">
        <v>8000</v>
      </c>
      <c r="G9" s="8" t="inlineStr">
        <is>
          <t>FP2025070005</t>
        </is>
      </c>
      <c r="H9" s="8" t="inlineStr">
        <is>
          <t>2025-07-28</t>
        </is>
      </c>
      <c r="I9" s="8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5" customWidth="1" min="11" max="11"/>
  </cols>
  <sheetData>
    <row r="1">
      <c r="A1" s="1" t="inlineStr">
        <is>
          <t>研发用设备折旧及无形资产摊销明细表</t>
        </is>
      </c>
    </row>
    <row r="2">
      <c r="A2" t="inlineStr">
        <is>
          <t>纳税年度：2025年</t>
        </is>
      </c>
      <c r="K2" t="inlineStr">
        <is>
          <t>单位：元</t>
        </is>
      </c>
    </row>
    <row r="4">
      <c r="A4" s="3" t="inlineStr">
        <is>
          <t>序号</t>
        </is>
      </c>
      <c r="B4" s="3" t="inlineStr">
        <is>
          <t>资产类型</t>
        </is>
      </c>
      <c r="C4" s="3" t="inlineStr">
        <is>
          <t>资产名称</t>
        </is>
      </c>
      <c r="D4" s="3" t="inlineStr">
        <is>
          <t>资产编号</t>
        </is>
      </c>
      <c r="E4" s="3" t="inlineStr">
        <is>
          <t>原值</t>
        </is>
      </c>
      <c r="F4" s="3" t="inlineStr">
        <is>
          <t>年折旧/摊销</t>
        </is>
      </c>
      <c r="G4" s="3" t="inlineStr">
        <is>
          <t>研发使用比例</t>
        </is>
      </c>
      <c r="H4" s="3" t="inlineStr">
        <is>
          <t>研发折旧/摊销</t>
        </is>
      </c>
      <c r="I4" s="3" t="inlineStr">
        <is>
          <t>分摊项目</t>
        </is>
      </c>
      <c r="J4" s="3" t="inlineStr">
        <is>
          <t>分摊依据</t>
        </is>
      </c>
      <c r="K4" s="3" t="inlineStr">
        <is>
          <t>备注</t>
        </is>
      </c>
    </row>
    <row r="5">
      <c r="A5" s="4" t="n">
        <v>1</v>
      </c>
      <c r="B5" s="4" t="inlineStr">
        <is>
          <t>设备</t>
        </is>
      </c>
      <c r="C5" s="4" t="inlineStr">
        <is>
          <t>高精度测试仪</t>
        </is>
      </c>
      <c r="D5" s="4" t="inlineStr">
        <is>
          <t>EQ-2020-001</t>
        </is>
      </c>
      <c r="E5" s="10" t="n">
        <v>350000</v>
      </c>
      <c r="F5" s="10" t="n">
        <v>70000</v>
      </c>
      <c r="G5" s="18" t="inlineStr">
        <is>
          <t>80%</t>
        </is>
      </c>
      <c r="H5" s="10">
        <f>F5*G5</f>
        <v/>
      </c>
      <c r="I5" s="4" t="inlineStr">
        <is>
          <t>RD2025-001</t>
        </is>
      </c>
      <c r="J5" s="4" t="inlineStr">
        <is>
          <t>使用工时</t>
        </is>
      </c>
      <c r="K5" s="4" t="inlineStr">
        <is>
          <t>5年折旧</t>
        </is>
      </c>
    </row>
    <row r="6">
      <c r="A6" s="4" t="n">
        <v>2</v>
      </c>
      <c r="B6" s="4" t="inlineStr">
        <is>
          <t>设备</t>
        </is>
      </c>
      <c r="C6" s="4" t="inlineStr">
        <is>
          <t>工业相机系统</t>
        </is>
      </c>
      <c r="D6" s="4" t="inlineStr">
        <is>
          <t>EQ-2021-003</t>
        </is>
      </c>
      <c r="E6" s="10" t="n">
        <v>180000</v>
      </c>
      <c r="F6" s="10" t="n">
        <v>36000</v>
      </c>
      <c r="G6" s="18" t="inlineStr">
        <is>
          <t>100%</t>
        </is>
      </c>
      <c r="H6" s="10">
        <f>F6*G6</f>
        <v/>
      </c>
      <c r="I6" s="4" t="inlineStr">
        <is>
          <t>RD2025-001</t>
        </is>
      </c>
      <c r="J6" s="4" t="inlineStr">
        <is>
          <t>专用设备</t>
        </is>
      </c>
      <c r="K6" s="4" t="inlineStr">
        <is>
          <t>5年折旧</t>
        </is>
      </c>
    </row>
    <row r="7">
      <c r="A7" s="4" t="n">
        <v>3</v>
      </c>
      <c r="B7" s="4" t="inlineStr">
        <is>
          <t>设备</t>
        </is>
      </c>
      <c r="C7" s="4" t="inlineStr">
        <is>
          <t>自动化测试平台</t>
        </is>
      </c>
      <c r="D7" s="4" t="inlineStr">
        <is>
          <t>EQ-2022-005</t>
        </is>
      </c>
      <c r="E7" s="10" t="n">
        <v>520000</v>
      </c>
      <c r="F7" s="10" t="n">
        <v>104000</v>
      </c>
      <c r="G7" s="18" t="inlineStr">
        <is>
          <t>60%</t>
        </is>
      </c>
      <c r="H7" s="10">
        <f>F7*G7</f>
        <v/>
      </c>
      <c r="I7" s="4" t="inlineStr">
        <is>
          <t>多项目</t>
        </is>
      </c>
      <c r="J7" s="4" t="inlineStr">
        <is>
          <t>使用工时</t>
        </is>
      </c>
      <c r="K7" s="4" t="inlineStr">
        <is>
          <t>5年折旧</t>
        </is>
      </c>
    </row>
    <row r="8">
      <c r="A8" s="4" t="n">
        <v>4</v>
      </c>
      <c r="B8" s="4" t="inlineStr">
        <is>
          <t>软件</t>
        </is>
      </c>
      <c r="C8" s="4" t="inlineStr">
        <is>
          <t>CAD设计软件</t>
        </is>
      </c>
      <c r="D8" s="4" t="inlineStr">
        <is>
          <t>SW-2023-001</t>
        </is>
      </c>
      <c r="E8" s="10" t="n">
        <v>80000</v>
      </c>
      <c r="F8" s="10" t="n">
        <v>16000</v>
      </c>
      <c r="G8" s="18" t="inlineStr">
        <is>
          <t>70%</t>
        </is>
      </c>
      <c r="H8" s="10">
        <f>F8*G8</f>
        <v/>
      </c>
      <c r="I8" s="4" t="inlineStr">
        <is>
          <t>多项目</t>
        </is>
      </c>
      <c r="J8" s="4" t="inlineStr">
        <is>
          <t>使用人数</t>
        </is>
      </c>
      <c r="K8" s="4" t="inlineStr">
        <is>
          <t>5年摊销</t>
        </is>
      </c>
    </row>
    <row r="9">
      <c r="A9" s="4" t="n">
        <v>5</v>
      </c>
      <c r="B9" s="4" t="inlineStr">
        <is>
          <t>软件</t>
        </is>
      </c>
      <c r="C9" s="4" t="inlineStr">
        <is>
          <t>仿真分析软件</t>
        </is>
      </c>
      <c r="D9" s="4" t="inlineStr">
        <is>
          <t>SW-2023-002</t>
        </is>
      </c>
      <c r="E9" s="10" t="n">
        <v>120000</v>
      </c>
      <c r="F9" s="10" t="n">
        <v>24000</v>
      </c>
      <c r="G9" s="18" t="inlineStr">
        <is>
          <t>90%</t>
        </is>
      </c>
      <c r="H9" s="10">
        <f>F9*G9</f>
        <v/>
      </c>
      <c r="I9" s="4" t="inlineStr">
        <is>
          <t>RD2025-002</t>
        </is>
      </c>
      <c r="J9" s="4" t="inlineStr">
        <is>
          <t>使用工时</t>
        </is>
      </c>
      <c r="K9" s="4" t="inlineStr">
        <is>
          <t>5年摊销</t>
        </is>
      </c>
    </row>
    <row r="10">
      <c r="A10" s="14" t="inlineStr">
        <is>
          <t>合计</t>
        </is>
      </c>
      <c r="H10" s="17">
        <f>SUM(H5:H9)</f>
        <v/>
      </c>
    </row>
  </sheetData>
  <mergeCells count="2">
    <mergeCell ref="A1:L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0" customWidth="1" min="9" max="9"/>
    <col width="15" customWidth="1" min="10" max="10"/>
  </cols>
  <sheetData>
    <row r="1">
      <c r="A1" s="1" t="inlineStr">
        <is>
          <t>委托外部研发费用明细表</t>
        </is>
      </c>
    </row>
    <row r="2">
      <c r="A2" t="inlineStr">
        <is>
          <t>纳税年度：2025年</t>
        </is>
      </c>
      <c r="I2" t="inlineStr">
        <is>
          <t>单位：元</t>
        </is>
      </c>
    </row>
    <row r="4">
      <c r="A4" s="3" t="inlineStr">
        <is>
          <t>序号</t>
        </is>
      </c>
      <c r="B4" s="3" t="inlineStr">
        <is>
          <t>委托单位</t>
        </is>
      </c>
      <c r="C4" s="3" t="inlineStr">
        <is>
          <t>委托类型</t>
        </is>
      </c>
      <c r="D4" s="3" t="inlineStr">
        <is>
          <t>研发项目</t>
        </is>
      </c>
      <c r="E4" s="3" t="inlineStr">
        <is>
          <t>合同编号</t>
        </is>
      </c>
      <c r="F4" s="3" t="inlineStr">
        <is>
          <t>合同金额</t>
        </is>
      </c>
      <c r="G4" s="3" t="inlineStr">
        <is>
          <t>本年支付</t>
        </is>
      </c>
      <c r="H4" s="3" t="inlineStr">
        <is>
          <t>可加计金额(80%)</t>
        </is>
      </c>
      <c r="I4" s="3" t="inlineStr">
        <is>
          <t>完成情况</t>
        </is>
      </c>
      <c r="J4" s="3" t="inlineStr">
        <is>
          <t>备注</t>
        </is>
      </c>
    </row>
    <row r="5">
      <c r="A5" s="4" t="n">
        <v>1</v>
      </c>
      <c r="B5" s="4" t="inlineStr">
        <is>
          <t>XX大学机械学院</t>
        </is>
      </c>
      <c r="C5" s="4" t="inlineStr">
        <is>
          <t>境内机构</t>
        </is>
      </c>
      <c r="D5" s="4" t="inlineStr">
        <is>
          <t>RD2025-001</t>
        </is>
      </c>
      <c r="E5" s="4" t="inlineStr">
        <is>
          <t>HT-2025-001</t>
        </is>
      </c>
      <c r="F5" s="10" t="n">
        <v>80000</v>
      </c>
      <c r="G5" s="10" t="n">
        <v>60000</v>
      </c>
      <c r="H5" s="10">
        <f>G5*0.8</f>
        <v/>
      </c>
      <c r="I5" s="4" t="inlineStr">
        <is>
          <t>进行中</t>
        </is>
      </c>
      <c r="J5" s="4" t="inlineStr">
        <is>
          <t>技术咨询</t>
        </is>
      </c>
    </row>
    <row r="6">
      <c r="A6" s="4" t="n">
        <v>2</v>
      </c>
      <c r="B6" s="4" t="inlineStr">
        <is>
          <t>XX研究院</t>
        </is>
      </c>
      <c r="C6" s="4" t="inlineStr">
        <is>
          <t>境内机构</t>
        </is>
      </c>
      <c r="D6" s="4" t="inlineStr">
        <is>
          <t>RD2025-003</t>
        </is>
      </c>
      <c r="E6" s="4" t="inlineStr">
        <is>
          <t>HT-2025-002</t>
        </is>
      </c>
      <c r="F6" s="10" t="n">
        <v>50000</v>
      </c>
      <c r="G6" s="10" t="n">
        <v>50000</v>
      </c>
      <c r="H6" s="10">
        <f>G6*0.8</f>
        <v/>
      </c>
      <c r="I6" s="4" t="inlineStr">
        <is>
          <t>已完成</t>
        </is>
      </c>
      <c r="J6" s="4" t="inlineStr">
        <is>
          <t>工艺验证</t>
        </is>
      </c>
    </row>
    <row r="7">
      <c r="A7" s="4" t="n">
        <v>3</v>
      </c>
      <c r="B7" s="4" t="inlineStr">
        <is>
          <t>XX科技公司</t>
        </is>
      </c>
      <c r="C7" s="4" t="inlineStr">
        <is>
          <t>境内机构</t>
        </is>
      </c>
      <c r="D7" s="4" t="inlineStr">
        <is>
          <t>RD2025-005</t>
        </is>
      </c>
      <c r="E7" s="4" t="inlineStr">
        <is>
          <t>HT-2025-003</t>
        </is>
      </c>
      <c r="F7" s="10" t="n">
        <v>100000</v>
      </c>
      <c r="G7" s="10" t="n">
        <v>80000</v>
      </c>
      <c r="H7" s="10">
        <f>G7*0.8</f>
        <v/>
      </c>
      <c r="I7" s="4" t="inlineStr">
        <is>
          <t>进行中</t>
        </is>
      </c>
      <c r="J7" s="4" t="inlineStr">
        <is>
          <t>软件开发</t>
        </is>
      </c>
    </row>
    <row r="8">
      <c r="A8" s="14" t="inlineStr">
        <is>
          <t>合计</t>
        </is>
      </c>
      <c r="F8" s="17">
        <f>SUM(F5:F7)</f>
        <v/>
      </c>
      <c r="G8" s="17">
        <f>SUM(G5:G7)</f>
        <v/>
      </c>
      <c r="H8" s="17">
        <f>SUM(H5:H7)</f>
        <v/>
      </c>
    </row>
    <row r="10">
      <c r="A10" s="14" t="inlineStr">
        <is>
          <t>【说明】</t>
        </is>
      </c>
    </row>
    <row r="11">
      <c r="A11" t="inlineStr">
        <is>
          <t>1. 委托境内机构或个人进行研发活动所发生的费用，按照费用实际发生额的80%计入委托方研发费用</t>
        </is>
      </c>
    </row>
    <row r="12">
      <c r="A12" t="inlineStr">
        <is>
          <t>2. 委托境外进行研发活动所发生的费用，按照费用实际发生额的80%计入委托方的委托境外研发费用</t>
        </is>
      </c>
    </row>
    <row r="13">
      <c r="A13" t="inlineStr">
        <is>
          <t>3. 委托境外研发费用不超过境内符合条件的研发费用三分之二的部分，可以按规定在企业所得税前加计扣除</t>
        </is>
      </c>
    </row>
  </sheetData>
  <mergeCells count="2">
    <mergeCell ref="A1:J1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4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研发项目立项清单（年度）</t>
        </is>
      </c>
    </row>
    <row r="2">
      <c r="A2" t="inlineStr">
        <is>
          <t>纳税年度：2025年</t>
        </is>
      </c>
    </row>
    <row r="4">
      <c r="A4" s="3" t="inlineStr">
        <is>
          <t>序号</t>
        </is>
      </c>
      <c r="B4" s="3" t="inlineStr">
        <is>
          <t>项目编号</t>
        </is>
      </c>
      <c r="C4" s="3" t="inlineStr">
        <is>
          <t>项目名称</t>
        </is>
      </c>
      <c r="D4" s="3" t="inlineStr">
        <is>
          <t>项目类型</t>
        </is>
      </c>
      <c r="E4" s="3" t="inlineStr">
        <is>
          <t>研发目标</t>
        </is>
      </c>
      <c r="F4" s="3" t="inlineStr">
        <is>
          <t>起始时间</t>
        </is>
      </c>
      <c r="G4" s="3" t="inlineStr">
        <is>
          <t>结束时间</t>
        </is>
      </c>
      <c r="H4" s="3" t="inlineStr">
        <is>
          <t>项目负责人</t>
        </is>
      </c>
      <c r="I4" s="3" t="inlineStr">
        <is>
          <t>预算金额</t>
        </is>
      </c>
      <c r="J4" s="3" t="inlineStr">
        <is>
          <t>实际费用</t>
        </is>
      </c>
      <c r="K4" s="3" t="inlineStr">
        <is>
          <t>项目状态</t>
        </is>
      </c>
    </row>
    <row r="5">
      <c r="A5" s="4" t="n">
        <v>1</v>
      </c>
      <c r="B5" s="4" t="inlineStr">
        <is>
          <t>RD2025-001</t>
        </is>
      </c>
      <c r="C5" s="4" t="inlineStr">
        <is>
          <t>智能视觉检测平台研发</t>
        </is>
      </c>
      <c r="D5" s="4" t="inlineStr">
        <is>
          <t>新产品研发</t>
        </is>
      </c>
      <c r="E5" s="8" t="inlineStr">
        <is>
          <t>开发通用视觉检测平台，实现多类型产品检测</t>
        </is>
      </c>
      <c r="F5" s="8" t="inlineStr">
        <is>
          <t>2025-01</t>
        </is>
      </c>
      <c r="G5" s="8" t="inlineStr">
        <is>
          <t>2025-12</t>
        </is>
      </c>
      <c r="H5" s="8" t="inlineStr">
        <is>
          <t>李学伟</t>
        </is>
      </c>
      <c r="I5" s="10" t="n">
        <v>600000</v>
      </c>
      <c r="J5" s="10" t="n">
        <v>572000</v>
      </c>
      <c r="K5" s="19" t="inlineStr">
        <is>
          <t>进行中</t>
        </is>
      </c>
    </row>
    <row r="6">
      <c r="A6" s="4" t="n">
        <v>2</v>
      </c>
      <c r="B6" s="4" t="inlineStr">
        <is>
          <t>RD2025-002</t>
        </is>
      </c>
      <c r="C6" s="4" t="inlineStr">
        <is>
          <t>通用测试软件平台开发</t>
        </is>
      </c>
      <c r="D6" s="4" t="inlineStr">
        <is>
          <t>平台研发</t>
        </is>
      </c>
      <c r="E6" s="8" t="inlineStr">
        <is>
          <t>开发通用测试软件框架，提高软件复用率</t>
        </is>
      </c>
      <c r="F6" s="8" t="inlineStr">
        <is>
          <t>2025-03</t>
        </is>
      </c>
      <c r="G6" s="8" t="inlineStr">
        <is>
          <t>2025-12</t>
        </is>
      </c>
      <c r="H6" s="8" t="inlineStr">
        <is>
          <t>刘明</t>
        </is>
      </c>
      <c r="I6" s="10" t="n">
        <v>400000</v>
      </c>
      <c r="J6" s="10" t="n">
        <v>373000</v>
      </c>
      <c r="K6" s="19" t="inlineStr">
        <is>
          <t>进行中</t>
        </is>
      </c>
    </row>
    <row r="7">
      <c r="A7" s="4" t="n">
        <v>3</v>
      </c>
      <c r="B7" s="4" t="inlineStr">
        <is>
          <t>RD2025-003</t>
        </is>
      </c>
      <c r="C7" s="4" t="inlineStr">
        <is>
          <t>高速贴片机检测工艺研究</t>
        </is>
      </c>
      <c r="D7" s="4" t="inlineStr">
        <is>
          <t>工艺研发</t>
        </is>
      </c>
      <c r="E7" s="8" t="inlineStr">
        <is>
          <t>研究高速贴片机自动化检测工艺</t>
        </is>
      </c>
      <c r="F7" s="8" t="inlineStr">
        <is>
          <t>2025-05</t>
        </is>
      </c>
      <c r="G7" s="8" t="inlineStr">
        <is>
          <t>2025-10</t>
        </is>
      </c>
      <c r="H7" s="8" t="inlineStr">
        <is>
          <t>王永锋</t>
        </is>
      </c>
      <c r="I7" s="10" t="n">
        <v>250000</v>
      </c>
      <c r="J7" s="10" t="n">
        <v>223000</v>
      </c>
      <c r="K7" s="20" t="inlineStr">
        <is>
          <t>已验收</t>
        </is>
      </c>
    </row>
    <row r="8">
      <c r="A8" s="4" t="n">
        <v>4</v>
      </c>
      <c r="B8" s="4" t="inlineStr">
        <is>
          <t>RD2025-004</t>
        </is>
      </c>
      <c r="C8" s="4" t="inlineStr">
        <is>
          <t>XX产品测试效率提升</t>
        </is>
      </c>
      <c r="D8" s="4" t="inlineStr">
        <is>
          <t>技术改进</t>
        </is>
      </c>
      <c r="E8" s="8" t="inlineStr">
        <is>
          <t>提升XX产品测试效率30%以上</t>
        </is>
      </c>
      <c r="F8" s="8" t="inlineStr">
        <is>
          <t>2025-06</t>
        </is>
      </c>
      <c r="G8" s="8" t="inlineStr">
        <is>
          <t>2025-09</t>
        </is>
      </c>
      <c r="H8" s="8" t="inlineStr">
        <is>
          <t>张桥</t>
        </is>
      </c>
      <c r="I8" s="10" t="n">
        <v>150000</v>
      </c>
      <c r="J8" s="10" t="n">
        <v>121000</v>
      </c>
      <c r="K8" s="20" t="inlineStr">
        <is>
          <t>已验收</t>
        </is>
      </c>
    </row>
    <row r="9">
      <c r="A9" s="4" t="n">
        <v>5</v>
      </c>
      <c r="B9" s="4" t="inlineStr">
        <is>
          <t>RD2025-005</t>
        </is>
      </c>
      <c r="C9" s="4" t="inlineStr">
        <is>
          <t>BMS电池管理测试设备研发</t>
        </is>
      </c>
      <c r="D9" s="4" t="inlineStr">
        <is>
          <t>新产品研发</t>
        </is>
      </c>
      <c r="E9" s="8" t="inlineStr">
        <is>
          <t>开发新一代BMS测试设备</t>
        </is>
      </c>
      <c r="F9" s="8" t="inlineStr">
        <is>
          <t>2025-02</t>
        </is>
      </c>
      <c r="G9" s="8" t="inlineStr">
        <is>
          <t>2025-12</t>
        </is>
      </c>
      <c r="H9" s="8" t="inlineStr">
        <is>
          <t>黄雷</t>
        </is>
      </c>
      <c r="I9" s="10" t="n">
        <v>800000</v>
      </c>
      <c r="J9" s="10" t="n">
        <v>735000</v>
      </c>
      <c r="K9" s="19" t="inlineStr">
        <is>
          <t>进行中</t>
        </is>
      </c>
    </row>
    <row r="10">
      <c r="A10" s="14" t="inlineStr">
        <is>
          <t>合计</t>
        </is>
      </c>
      <c r="I10" s="17">
        <f>SUM(I5:I9)</f>
        <v/>
      </c>
      <c r="J10" s="17">
        <f>SUM(J5:J9)</f>
        <v/>
      </c>
    </row>
  </sheetData>
  <mergeCells count="2">
    <mergeCell ref="A1:K1"/>
    <mergeCell ref="A10:H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研发费用加计扣除报表编制说明</t>
        </is>
      </c>
    </row>
    <row r="2">
      <c r="A2" t="inlineStr"/>
    </row>
    <row r="3">
      <c r="A3" s="2" t="inlineStr">
        <is>
          <t>一、报表体系说明</t>
        </is>
      </c>
    </row>
    <row r="4">
      <c r="A4" t="inlineStr"/>
    </row>
    <row r="5">
      <c r="A5" t="inlineStr">
        <is>
          <t>本套报表用于企业所得税年度汇算清缴时申报研发费用加计扣除，主要包括：</t>
        </is>
      </c>
    </row>
    <row r="6">
      <c r="A6" t="inlineStr">
        <is>
          <t xml:space="preserve">  1. 加计扣除汇总表 - 按费用类别汇总，作为申报主表</t>
        </is>
      </c>
    </row>
    <row r="7">
      <c r="A7" t="inlineStr">
        <is>
          <t xml:space="preserve">  2. 项目费用明细表 - 按研发项目汇总各类费用</t>
        </is>
      </c>
    </row>
    <row r="8">
      <c r="A8" t="inlineStr">
        <is>
          <t xml:space="preserve">  3. 人工费用明细表 - 研发人员人工费用归集明细</t>
        </is>
      </c>
    </row>
    <row r="9">
      <c r="A9" t="inlineStr">
        <is>
          <t xml:space="preserve">  4. 直接投入明细表 - 材料、燃料、租赁等直接投入明细</t>
        </is>
      </c>
    </row>
    <row r="10">
      <c r="A10" t="inlineStr">
        <is>
          <t xml:space="preserve">  5. 折旧摊销明细表 - 设备折旧、软件摊销明细</t>
        </is>
      </c>
    </row>
    <row r="11">
      <c r="A11" t="inlineStr">
        <is>
          <t xml:space="preserve">  6. 委托外部明细表 - 委托研发费用明细</t>
        </is>
      </c>
    </row>
    <row r="12">
      <c r="A12" t="inlineStr">
        <is>
          <t xml:space="preserve">  7. 项目立项清单 - 年度研发项目立项情况</t>
        </is>
      </c>
    </row>
    <row r="13">
      <c r="A13" t="inlineStr"/>
    </row>
    <row r="14">
      <c r="A14" s="2" t="inlineStr">
        <is>
          <t>二、编制要求</t>
        </is>
      </c>
    </row>
    <row r="15">
      <c r="A15" t="inlineStr"/>
    </row>
    <row r="16">
      <c r="A16" t="inlineStr">
        <is>
          <t>1. 数据来源</t>
        </is>
      </c>
    </row>
    <row r="17">
      <c r="A17" t="inlineStr">
        <is>
          <t xml:space="preserve">  - 人工费用：来源于工时记录系统，按研发工时比例分摊</t>
        </is>
      </c>
    </row>
    <row r="18">
      <c r="A18" t="inlineStr">
        <is>
          <t xml:space="preserve">  - 直接投入：来源于财务系统，根据研发领料单、费用报销单归集</t>
        </is>
      </c>
    </row>
    <row r="19">
      <c r="A19" t="inlineStr">
        <is>
          <t xml:space="preserve">  - 折旧摊销：来源于固定资产系统，按研发使用比例分摊</t>
        </is>
      </c>
    </row>
    <row r="20">
      <c r="A20" t="inlineStr">
        <is>
          <t xml:space="preserve">  - 委托外部：来源于合同管理，按实际支付金额的80%计入</t>
        </is>
      </c>
    </row>
    <row r="21">
      <c r="A21" t="inlineStr"/>
    </row>
    <row r="22">
      <c r="A22" t="inlineStr">
        <is>
          <t>2. 归集原则</t>
        </is>
      </c>
    </row>
    <row r="23">
      <c r="A23" t="inlineStr">
        <is>
          <t xml:space="preserve">  - 能直接归集的费用，直接计入对应研发项目</t>
        </is>
      </c>
    </row>
    <row r="24">
      <c r="A24" t="inlineStr">
        <is>
          <t xml:space="preserve">  - 需分摊的费用（如人工费、折旧费），按合理的分摊标准分配到各项目</t>
        </is>
      </c>
    </row>
    <row r="25">
      <c r="A25" t="inlineStr">
        <is>
          <t xml:space="preserve">  - 分摊标准应一致、合理、可核查</t>
        </is>
      </c>
    </row>
    <row r="26">
      <c r="A26" t="inlineStr"/>
    </row>
    <row r="27">
      <c r="A27" t="inlineStr">
        <is>
          <t>3. 凭证要求</t>
        </is>
      </c>
    </row>
    <row r="28">
      <c r="A28" t="inlineStr">
        <is>
          <t xml:space="preserve">  - 所有费用必须有原始凭证（发票、合同、入库单等）</t>
        </is>
      </c>
    </row>
    <row r="29">
      <c r="A29" t="inlineStr">
        <is>
          <t xml:space="preserve">  - 人工费用需有工时记录表支撑</t>
        </is>
      </c>
    </row>
    <row r="30">
      <c r="A30" t="inlineStr">
        <is>
          <t xml:space="preserve">  - 委托外部需有合同、发票、验收单</t>
        </is>
      </c>
    </row>
    <row r="31">
      <c r="A31" t="inlineStr"/>
    </row>
    <row r="32">
      <c r="A32" t="inlineStr">
        <is>
          <t>4. 其他相关费用限额</t>
        </is>
      </c>
    </row>
    <row r="33">
      <c r="A33" t="inlineStr">
        <is>
          <t xml:space="preserve">  - 其他相关费用不得超过可加计扣除研发费用总额的10%</t>
        </is>
      </c>
    </row>
    <row r="34">
      <c r="A34" t="inlineStr">
        <is>
          <t xml:space="preserve">  - 计算公式：限额 = (人工费+直接投入+折旧+摊销+新产品设计费+委托外部) × 10% ÷ (1-10%)</t>
        </is>
      </c>
    </row>
    <row r="35">
      <c r="A35" t="inlineStr"/>
    </row>
    <row r="36">
      <c r="A36" s="2" t="inlineStr">
        <is>
          <t>三、归档要求</t>
        </is>
      </c>
    </row>
    <row r="37">
      <c r="A37" t="inlineStr"/>
    </row>
    <row r="38">
      <c r="A38" t="inlineStr">
        <is>
          <t>以下资料需留存备查：</t>
        </is>
      </c>
    </row>
    <row r="39">
      <c r="A39" t="inlineStr">
        <is>
          <t xml:space="preserve">  1. 研发项目立项申请书及批准文件</t>
        </is>
      </c>
    </row>
    <row r="40">
      <c r="A40" t="inlineStr">
        <is>
          <t xml:space="preserve">  2. 研发项目计划书</t>
        </is>
      </c>
    </row>
    <row r="41">
      <c r="A41" t="inlineStr">
        <is>
          <t xml:space="preserve">  3. 研发人员名单及工时记录</t>
        </is>
      </c>
    </row>
    <row r="42">
      <c r="A42" t="inlineStr">
        <is>
          <t xml:space="preserve">  4. 研发费用归集明细</t>
        </is>
      </c>
    </row>
    <row r="43">
      <c r="A43" t="inlineStr">
        <is>
          <t xml:space="preserve">  5. 研发项目验收报告</t>
        </is>
      </c>
    </row>
    <row r="44">
      <c r="A44" t="inlineStr">
        <is>
          <t xml:space="preserve">  6. 研发成果清单（专利、软著等）</t>
        </is>
      </c>
    </row>
    <row r="45">
      <c r="A45" t="inlineStr">
        <is>
          <t xml:space="preserve">  7. 委托研发合同及发票</t>
        </is>
      </c>
    </row>
    <row r="46">
      <c r="A46" t="inlineStr"/>
    </row>
    <row r="47">
      <c r="A47" s="2" t="inlineStr">
        <is>
          <t>四、审计关注点</t>
        </is>
      </c>
    </row>
    <row r="48">
      <c r="A48" t="inlineStr"/>
    </row>
    <row r="49">
      <c r="A49" t="inlineStr">
        <is>
          <t xml:space="preserve">  1. 研发费用与生产成本是否严格区分</t>
        </is>
      </c>
    </row>
    <row r="50">
      <c r="A50" t="inlineStr">
        <is>
          <t xml:space="preserve">  2. 人工费用分摊是否有工时记录支撑</t>
        </is>
      </c>
    </row>
    <row r="51">
      <c r="A51" t="inlineStr">
        <is>
          <t xml:space="preserve">  3. 研发项目是否符合研发活动定义</t>
        </is>
      </c>
    </row>
    <row r="52">
      <c r="A52" t="inlineStr">
        <is>
          <t xml:space="preserve">  4. 费用归集是否与项目对应</t>
        </is>
      </c>
    </row>
    <row r="53">
      <c r="A53" t="inlineStr">
        <is>
          <t xml:space="preserve">  5. 其他相关费用是否超限额</t>
        </is>
      </c>
    </row>
    <row r="54">
      <c r="A54" t="inlineStr">
        <is>
          <t xml:space="preserve">  6. 委托外部研发是否按80%计入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2026-01-01T16:33:32Z</dcterms:created>
  <dcterms:modified xmlns:dcterms="http://purl.org/dc/terms/" xmlns:xsi="http://www.w3.org/2001/XMLSchema-instance" xsi:type="dcterms:W3CDTF">2026-01-01T16:33:32Z</dcterms:modified>
</cp:coreProperties>
</file>
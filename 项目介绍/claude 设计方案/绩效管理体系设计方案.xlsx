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绩效体系总览" sheetId="1" state="visible" r:id="rId1"/>
    <sheet xmlns:r="http://schemas.openxmlformats.org/officeDocument/2006/relationships" name="2-公司级KPI" sheetId="2" state="visible" r:id="rId2"/>
    <sheet xmlns:r="http://schemas.openxmlformats.org/officeDocument/2006/relationships" name="3-销售部KPI" sheetId="3" state="visible" r:id="rId3"/>
    <sheet xmlns:r="http://schemas.openxmlformats.org/officeDocument/2006/relationships" name="4-研发部KPI" sheetId="4" state="visible" r:id="rId4"/>
    <sheet xmlns:r="http://schemas.openxmlformats.org/officeDocument/2006/relationships" name="5-生产部KPI" sheetId="5" state="visible" r:id="rId5"/>
    <sheet xmlns:r="http://schemas.openxmlformats.org/officeDocument/2006/relationships" name="6-采购部KPI" sheetId="6" state="visible" r:id="rId6"/>
    <sheet xmlns:r="http://schemas.openxmlformats.org/officeDocument/2006/relationships" name="7-品质部KPI" sheetId="7" state="visible" r:id="rId7"/>
    <sheet xmlns:r="http://schemas.openxmlformats.org/officeDocument/2006/relationships" name="8-PMC部KPI" sheetId="8" state="visible" r:id="rId8"/>
    <sheet xmlns:r="http://schemas.openxmlformats.org/officeDocument/2006/relationships" name="9-财务部KPI" sheetId="9" state="visible" r:id="rId9"/>
    <sheet xmlns:r="http://schemas.openxmlformats.org/officeDocument/2006/relationships" name="10-人力资源KPI" sheetId="10" state="visible" r:id="rId10"/>
    <sheet xmlns:r="http://schemas.openxmlformats.org/officeDocument/2006/relationships" name="11-项目级KPI" sheetId="11" state="visible" r:id="rId11"/>
    <sheet xmlns:r="http://schemas.openxmlformats.org/officeDocument/2006/relationships" name="12-个人考核表模板" sheetId="12" state="visible" r:id="rId12"/>
    <sheet xmlns:r="http://schemas.openxmlformats.org/officeDocument/2006/relationships" name="13-数据表设计" sheetId="13" state="visible" r:id="rId13"/>
    <sheet xmlns:r="http://schemas.openxmlformats.org/officeDocument/2006/relationships" name="14-绩效管理流程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微软雅黑"/>
      <b val="1"/>
      <color rgb="001F4E79"/>
      <sz val="20"/>
    </font>
    <font>
      <name val="微软雅黑"/>
      <b val="1"/>
      <sz val="14"/>
    </font>
    <font>
      <name val="Consolas"/>
      <sz val="9"/>
    </font>
    <font>
      <name val="微软雅黑"/>
      <b val="1"/>
      <color rgb="00FFFFFF"/>
      <sz val="11"/>
    </font>
    <font>
      <name val="微软雅黑"/>
      <b val="1"/>
      <color rgb="001F4E79"/>
      <sz val="18"/>
    </font>
    <font>
      <b val="1"/>
      <color rgb="00666666"/>
      <sz val="11"/>
    </font>
    <font>
      <b val="1"/>
      <color rgb="00FFFFFF"/>
      <sz val="12"/>
    </font>
    <font>
      <b val="1"/>
    </font>
    <font>
      <b val="1"/>
      <sz val="14"/>
    </font>
    <font>
      <b val="1"/>
      <sz val="12"/>
    </font>
    <font>
      <name val="微软雅黑"/>
      <b val="1"/>
      <sz val="12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2D5F1"/>
      </patternFill>
    </fill>
    <fill>
      <patternFill patternType="solid">
        <fgColor rgb="00D6DCE5"/>
      </patternFill>
    </fill>
    <fill>
      <patternFill patternType="solid">
        <fgColor rgb="00FFFFD9"/>
      </patternFill>
    </fill>
    <fill>
      <patternFill patternType="solid">
        <fgColor rgb="002E75B6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7" borderId="1" pivotButton="0" quotePrefix="0" xfId="0"/>
    <xf numFmtId="0" fontId="0" fillId="8" borderId="1" pivotButton="0" quotePrefix="0" xfId="0"/>
    <xf numFmtId="0" fontId="7" fillId="9" borderId="0" pivotButton="0" quotePrefix="0" xfId="0"/>
    <xf numFmtId="0" fontId="8" fillId="0" borderId="1" pivotButton="0" quotePrefix="0" xfId="0"/>
    <xf numFmtId="0" fontId="0" fillId="0" borderId="1" pivotButton="0" quotePrefix="0" xfId="0"/>
    <xf numFmtId="0" fontId="8" fillId="10" borderId="1" pivotButton="0" quotePrefix="0" xfId="0"/>
    <xf numFmtId="0" fontId="8" fillId="7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非标自动化企业绩效管理体系</t>
        </is>
      </c>
    </row>
    <row r="3">
      <c r="A3" s="2" t="inlineStr">
        <is>
          <t>一、绩效管理体系框架</t>
        </is>
      </c>
    </row>
    <row r="4">
      <c r="A4" s="3" t="inlineStr">
        <is>
          <t xml:space="preserve">
┌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┐
│                              绩效管理体系框架                                                    │
├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┤
│                                                                                                 │
│   ┌─────────────────────────────────────────────────────────────────────────────────────────┐   │
│   │                           公司级KPI（战略目标分解）                                      │   │
│   │    营业收入  │  净利润率  │  回款率  │  客户满意度  │  研发投入占比  │  人均产值        │   │
│   └─────────────────────────────────────────────────────────────────────────────────────────┘   │
│                                          │                                                      │
│            ┌─────────────────────────────┼─────────────────────────────┐                       │
│            │                             │                             │                       │
│            ▼                             ▼                             ▼                       │
│   ┌─────────────────┐         ┌─────────────────┐         ┌─────────────────┐                 │
│   │   部门级KPI     │         │   项目级KPI     │         │   个人级KPI     │                 │
│   │  (职能绩效)     │         │  (项目绩效)     │         │  (双线考核)     │                 │
│   └────────┬────────┘         └────────┬────────┘         └────────┬────────┘                 │
│            │                           │                           │                          │
│   ┌────────┴────────┐         ┌────────┴────────┐         ┌────────┴────────┐                 │
│   │ 销售/研发/生产  │         │ 交期/成本/质量  │         │ 项目线70%      │                 │
│   │ 采购/品质/财务  │         │ 客户满意度     │         │ 职能线30%      │                 │
│   └─────────────────┘         └─────────────────┘         └─────────────────┘                 │
│                                                                                                 │
└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┘
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20">
      <c r="A20" s="2" t="inlineStr">
        <is>
          <t>二、绩效管理核心原则</t>
        </is>
      </c>
    </row>
    <row r="21">
      <c r="A21" s="4" t="inlineStr">
        <is>
          <t>原则</t>
        </is>
      </c>
      <c r="B21" s="5" t="inlineStr">
        <is>
          <t>说明</t>
        </is>
      </c>
      <c r="C21" s="5" t="inlineStr">
        <is>
          <t>落地要点</t>
        </is>
      </c>
    </row>
    <row r="22">
      <c r="A22" s="6" t="inlineStr">
        <is>
          <t>战略导向</t>
        </is>
      </c>
      <c r="B22" s="7" t="inlineStr">
        <is>
          <t>绩效指标从公司战略目标层层分解</t>
        </is>
      </c>
      <c r="C22" s="7" t="inlineStr">
        <is>
          <t>每年初根据战略目标更新KPI</t>
        </is>
      </c>
    </row>
    <row r="23">
      <c r="A23" s="6" t="inlineStr">
        <is>
          <t>SMART原则</t>
        </is>
      </c>
      <c r="B23" s="7" t="inlineStr">
        <is>
          <t>指标具体、可衡量、可达成、相关、有时限</t>
        </is>
      </c>
      <c r="C23" s="7" t="inlineStr">
        <is>
          <t>每个指标有明确的计算公式和数据来源</t>
        </is>
      </c>
    </row>
    <row r="24">
      <c r="A24" s="6" t="inlineStr">
        <is>
          <t>双线考核</t>
        </is>
      </c>
      <c r="B24" s="7" t="inlineStr">
        <is>
          <t>项目绩效+职能绩效双维度</t>
        </is>
      </c>
      <c r="C24" s="7" t="inlineStr">
        <is>
          <t>项目线70%+职能线30%</t>
        </is>
      </c>
    </row>
    <row r="25">
      <c r="A25" s="6" t="inlineStr">
        <is>
          <t>过程+结果</t>
        </is>
      </c>
      <c r="B25" s="7" t="inlineStr">
        <is>
          <t>既考核结果达成，也关注过程行为</t>
        </is>
      </c>
      <c r="C25" s="7" t="inlineStr">
        <is>
          <t>结果指标+过程指标+行为指标</t>
        </is>
      </c>
    </row>
    <row r="26">
      <c r="A26" s="6" t="inlineStr">
        <is>
          <t>动态调整</t>
        </is>
      </c>
      <c r="B26" s="7" t="inlineStr">
        <is>
          <t>根据业务变化及时调整指标</t>
        </is>
      </c>
      <c r="C26" s="7" t="inlineStr">
        <is>
          <t>季度复盘，年度修订</t>
        </is>
      </c>
    </row>
    <row r="27">
      <c r="A27" s="6" t="inlineStr">
        <is>
          <t>数据驱动</t>
        </is>
      </c>
      <c r="B27" s="7" t="inlineStr">
        <is>
          <t>基于系统数据自动计算，减少主观因素</t>
        </is>
      </c>
      <c r="C27" s="7" t="inlineStr">
        <is>
          <t>工时系统、项目系统、财务系统打通</t>
        </is>
      </c>
    </row>
  </sheetData>
  <mergeCells count="2">
    <mergeCell ref="A4:H18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0" customWidth="1" min="3" max="3"/>
    <col width="30" customWidth="1" min="4" max="4"/>
    <col width="15" customWidth="1" min="5" max="5"/>
    <col width="12" customWidth="1" min="6" max="6"/>
    <col width="10" customWidth="1" min="7" max="7"/>
    <col width="12" customWidth="1" min="8" max="8"/>
  </cols>
  <sheetData>
    <row r="1">
      <c r="A1" s="8" t="inlineStr">
        <is>
          <t>公司级KPI指标库</t>
        </is>
      </c>
    </row>
    <row r="3">
      <c r="A3" s="4" t="inlineStr">
        <is>
          <t>指标类别</t>
        </is>
      </c>
      <c r="B3" s="4" t="inlineStr">
        <is>
          <t>指标名称</t>
        </is>
      </c>
      <c r="C3" s="4" t="inlineStr">
        <is>
          <t>指标定义</t>
        </is>
      </c>
      <c r="D3" s="4" t="inlineStr">
        <is>
          <t>计算公式</t>
        </is>
      </c>
      <c r="E3" s="4" t="inlineStr">
        <is>
          <t>数据来源</t>
        </is>
      </c>
      <c r="F3" s="4" t="inlineStr">
        <is>
          <t>目标值</t>
        </is>
      </c>
      <c r="G3" s="4" t="inlineStr">
        <is>
          <t>考核周期</t>
        </is>
      </c>
      <c r="H3" s="4" t="inlineStr">
        <is>
          <t>责任部门</t>
        </is>
      </c>
    </row>
    <row r="4">
      <c r="A4" s="9" t="inlineStr">
        <is>
          <t>财务维度</t>
        </is>
      </c>
      <c r="B4" s="7" t="inlineStr">
        <is>
          <t>年度营业收入</t>
        </is>
      </c>
      <c r="C4" s="7" t="inlineStr">
        <is>
          <t>公司全年销售收入总额</t>
        </is>
      </c>
      <c r="D4" s="7" t="inlineStr">
        <is>
          <t>合同签订金额（或收入确认金额）</t>
        </is>
      </c>
      <c r="E4" s="7" t="inlineStr">
        <is>
          <t>财务系统</t>
        </is>
      </c>
      <c r="F4" s="6" t="inlineStr">
        <is>
          <t>1.5亿</t>
        </is>
      </c>
      <c r="G4" s="6" t="inlineStr">
        <is>
          <t>年度</t>
        </is>
      </c>
      <c r="H4" s="6" t="inlineStr">
        <is>
          <t>销售部</t>
        </is>
      </c>
    </row>
    <row r="5">
      <c r="A5" s="9" t="inlineStr">
        <is>
          <t>财务维度</t>
        </is>
      </c>
      <c r="B5" s="7" t="inlineStr">
        <is>
          <t>营业收入增长率</t>
        </is>
      </c>
      <c r="C5" s="7" t="inlineStr">
        <is>
          <t>相比上年的收入增长比例</t>
        </is>
      </c>
      <c r="D5" s="7" t="inlineStr">
        <is>
          <t>(本年收入-上年收入)/上年收入×100%</t>
        </is>
      </c>
      <c r="E5" s="7" t="inlineStr">
        <is>
          <t>财务系统</t>
        </is>
      </c>
      <c r="F5" s="6" t="inlineStr">
        <is>
          <t>≥20%</t>
        </is>
      </c>
      <c r="G5" s="6" t="inlineStr">
        <is>
          <t>年度</t>
        </is>
      </c>
      <c r="H5" s="6" t="inlineStr">
        <is>
          <t>销售部</t>
        </is>
      </c>
    </row>
    <row r="6">
      <c r="A6" s="9" t="inlineStr">
        <is>
          <t>财务维度</t>
        </is>
      </c>
      <c r="B6" s="7" t="inlineStr">
        <is>
          <t>净利润率</t>
        </is>
      </c>
      <c r="C6" s="7" t="inlineStr">
        <is>
          <t>净利润占营业收入的比例</t>
        </is>
      </c>
      <c r="D6" s="7" t="inlineStr">
        <is>
          <t>净利润/营业收入×100%</t>
        </is>
      </c>
      <c r="E6" s="7" t="inlineStr">
        <is>
          <t>财务系统</t>
        </is>
      </c>
      <c r="F6" s="6" t="inlineStr">
        <is>
          <t>≥10%</t>
        </is>
      </c>
      <c r="G6" s="6" t="inlineStr">
        <is>
          <t>年度</t>
        </is>
      </c>
      <c r="H6" s="6" t="inlineStr">
        <is>
          <t>财务部</t>
        </is>
      </c>
    </row>
    <row r="7">
      <c r="A7" s="9" t="inlineStr">
        <is>
          <t>财务维度</t>
        </is>
      </c>
      <c r="B7" s="7" t="inlineStr">
        <is>
          <t>回款率</t>
        </is>
      </c>
      <c r="C7" s="7" t="inlineStr">
        <is>
          <t>实际回款占应收账款的比例</t>
        </is>
      </c>
      <c r="D7" s="7" t="inlineStr">
        <is>
          <t>实际回款金额/应收账款×100%</t>
        </is>
      </c>
      <c r="E7" s="7" t="inlineStr">
        <is>
          <t>财务系统</t>
        </is>
      </c>
      <c r="F7" s="6" t="inlineStr">
        <is>
          <t>≥85%</t>
        </is>
      </c>
      <c r="G7" s="6" t="inlineStr">
        <is>
          <t>年度</t>
        </is>
      </c>
      <c r="H7" s="6" t="inlineStr">
        <is>
          <t>销售部</t>
        </is>
      </c>
    </row>
    <row r="8">
      <c r="A8" s="9" t="inlineStr">
        <is>
          <t>财务维度</t>
        </is>
      </c>
      <c r="B8" s="7" t="inlineStr">
        <is>
          <t>人均产值</t>
        </is>
      </c>
      <c r="C8" s="7" t="inlineStr">
        <is>
          <t>人均创造的产值</t>
        </is>
      </c>
      <c r="D8" s="7" t="inlineStr">
        <is>
          <t>营业收入/员工人数</t>
        </is>
      </c>
      <c r="E8" s="7" t="inlineStr">
        <is>
          <t>财务/HR系统</t>
        </is>
      </c>
      <c r="F8" s="6" t="inlineStr">
        <is>
          <t>≥75万</t>
        </is>
      </c>
      <c r="G8" s="6" t="inlineStr">
        <is>
          <t>年度</t>
        </is>
      </c>
      <c r="H8" s="6" t="inlineStr">
        <is>
          <t>HR</t>
        </is>
      </c>
    </row>
    <row r="9">
      <c r="A9" s="10" t="inlineStr">
        <is>
          <t>客户维度</t>
        </is>
      </c>
      <c r="B9" s="7" t="inlineStr">
        <is>
          <t>客户满意度</t>
        </is>
      </c>
      <c r="C9" s="7" t="inlineStr">
        <is>
          <t>客户对公司产品和服务的满意程度</t>
        </is>
      </c>
      <c r="D9" s="7" t="inlineStr">
        <is>
          <t>客户满意度调查平均分</t>
        </is>
      </c>
      <c r="E9" s="7" t="inlineStr">
        <is>
          <t>客户调查</t>
        </is>
      </c>
      <c r="F9" s="6" t="inlineStr">
        <is>
          <t>≥90分</t>
        </is>
      </c>
      <c r="G9" s="6" t="inlineStr">
        <is>
          <t>半年</t>
        </is>
      </c>
      <c r="H9" s="6" t="inlineStr">
        <is>
          <t>销售部</t>
        </is>
      </c>
    </row>
    <row r="10">
      <c r="A10" s="10" t="inlineStr">
        <is>
          <t>客户维度</t>
        </is>
      </c>
      <c r="B10" s="7" t="inlineStr">
        <is>
          <t>客户投诉率</t>
        </is>
      </c>
      <c r="C10" s="7" t="inlineStr">
        <is>
          <t>客户投诉次数占交付项目的比例</t>
        </is>
      </c>
      <c r="D10" s="7" t="inlineStr">
        <is>
          <t>投诉次数/交付项目数×100%</t>
        </is>
      </c>
      <c r="E10" s="7" t="inlineStr">
        <is>
          <t>客服系统</t>
        </is>
      </c>
      <c r="F10" s="6" t="inlineStr">
        <is>
          <t>≤5%</t>
        </is>
      </c>
      <c r="G10" s="6" t="inlineStr">
        <is>
          <t>季度</t>
        </is>
      </c>
      <c r="H10" s="6" t="inlineStr">
        <is>
          <t>品质部</t>
        </is>
      </c>
    </row>
    <row r="11">
      <c r="A11" s="10" t="inlineStr">
        <is>
          <t>客户维度</t>
        </is>
      </c>
      <c r="B11" s="7" t="inlineStr">
        <is>
          <t>老客户复购率</t>
        </is>
      </c>
      <c r="C11" s="7" t="inlineStr">
        <is>
          <t>老客户再次下单的比例</t>
        </is>
      </c>
      <c r="D11" s="7" t="inlineStr">
        <is>
          <t>复购客户数/总客户数×100%</t>
        </is>
      </c>
      <c r="E11" s="7" t="inlineStr">
        <is>
          <t>销售系统</t>
        </is>
      </c>
      <c r="F11" s="6" t="inlineStr">
        <is>
          <t>≥60%</t>
        </is>
      </c>
      <c r="G11" s="6" t="inlineStr">
        <is>
          <t>年度</t>
        </is>
      </c>
      <c r="H11" s="6" t="inlineStr">
        <is>
          <t>销售部</t>
        </is>
      </c>
    </row>
    <row r="12">
      <c r="A12" s="10" t="inlineStr">
        <is>
          <t>客户维度</t>
        </is>
      </c>
      <c r="B12" s="7" t="inlineStr">
        <is>
          <t>新客户开发数</t>
        </is>
      </c>
      <c r="C12" s="7" t="inlineStr">
        <is>
          <t>新开发的客户数量</t>
        </is>
      </c>
      <c r="D12" s="7" t="inlineStr">
        <is>
          <t>新签约客户数量</t>
        </is>
      </c>
      <c r="E12" s="7" t="inlineStr">
        <is>
          <t>销售系统</t>
        </is>
      </c>
      <c r="F12" s="6" t="inlineStr">
        <is>
          <t>≥20家</t>
        </is>
      </c>
      <c r="G12" s="6" t="inlineStr">
        <is>
          <t>年度</t>
        </is>
      </c>
      <c r="H12" s="6" t="inlineStr">
        <is>
          <t>销售部</t>
        </is>
      </c>
    </row>
    <row r="13">
      <c r="A13" s="11" t="inlineStr">
        <is>
          <t>运营维度</t>
        </is>
      </c>
      <c r="B13" s="7" t="inlineStr">
        <is>
          <t>项目按时交付率</t>
        </is>
      </c>
      <c r="C13" s="7" t="inlineStr">
        <is>
          <t>按时交付的项目占比</t>
        </is>
      </c>
      <c r="D13" s="7" t="inlineStr">
        <is>
          <t>按时交付项目数/总项目数×100%</t>
        </is>
      </c>
      <c r="E13" s="7" t="inlineStr">
        <is>
          <t>项目系统</t>
        </is>
      </c>
      <c r="F13" s="6" t="inlineStr">
        <is>
          <t>≥90%</t>
        </is>
      </c>
      <c r="G13" s="6" t="inlineStr">
        <is>
          <t>季度</t>
        </is>
      </c>
      <c r="H13" s="6" t="inlineStr">
        <is>
          <t>项目部</t>
        </is>
      </c>
    </row>
    <row r="14">
      <c r="A14" s="11" t="inlineStr">
        <is>
          <t>运营维度</t>
        </is>
      </c>
      <c r="B14" s="7" t="inlineStr">
        <is>
          <t>项目平均毛利率</t>
        </is>
      </c>
      <c r="C14" s="7" t="inlineStr">
        <is>
          <t>项目毛利占合同额的比例</t>
        </is>
      </c>
      <c r="D14" s="7" t="inlineStr">
        <is>
          <t>Σ(项目毛利)/Σ(合同额)×100%</t>
        </is>
      </c>
      <c r="E14" s="7" t="inlineStr">
        <is>
          <t>项目系统</t>
        </is>
      </c>
      <c r="F14" s="6" t="inlineStr">
        <is>
          <t>≥25%</t>
        </is>
      </c>
      <c r="G14" s="6" t="inlineStr">
        <is>
          <t>季度</t>
        </is>
      </c>
      <c r="H14" s="6" t="inlineStr">
        <is>
          <t>项目部</t>
        </is>
      </c>
    </row>
    <row r="15">
      <c r="A15" s="11" t="inlineStr">
        <is>
          <t>运营维度</t>
        </is>
      </c>
      <c r="B15" s="7" t="inlineStr">
        <is>
          <t>设计一次通过率</t>
        </is>
      </c>
      <c r="C15" s="7" t="inlineStr">
        <is>
          <t>设计评审一次通过的比例</t>
        </is>
      </c>
      <c r="D15" s="7" t="inlineStr">
        <is>
          <t>一次通过项目数/评审项目数×100%</t>
        </is>
      </c>
      <c r="E15" s="7" t="inlineStr">
        <is>
          <t>项目系统</t>
        </is>
      </c>
      <c r="F15" s="6" t="inlineStr">
        <is>
          <t>≥85%</t>
        </is>
      </c>
      <c r="G15" s="6" t="inlineStr">
        <is>
          <t>季度</t>
        </is>
      </c>
      <c r="H15" s="6" t="inlineStr">
        <is>
          <t>研发部</t>
        </is>
      </c>
    </row>
    <row r="16">
      <c r="A16" s="11" t="inlineStr">
        <is>
          <t>运营维度</t>
        </is>
      </c>
      <c r="B16" s="7" t="inlineStr">
        <is>
          <t>采购成本节约率</t>
        </is>
      </c>
      <c r="C16" s="7" t="inlineStr">
        <is>
          <t>采购成本相比预算的节约比例</t>
        </is>
      </c>
      <c r="D16" s="7" t="inlineStr">
        <is>
          <t>(预算成本-实际成本)/预算成本×100%</t>
        </is>
      </c>
      <c r="E16" s="7" t="inlineStr">
        <is>
          <t>采购系统</t>
        </is>
      </c>
      <c r="F16" s="6" t="inlineStr">
        <is>
          <t>≥3%</t>
        </is>
      </c>
      <c r="G16" s="6" t="inlineStr">
        <is>
          <t>季度</t>
        </is>
      </c>
      <c r="H16" s="6" t="inlineStr">
        <is>
          <t>采购部</t>
        </is>
      </c>
    </row>
    <row r="17">
      <c r="A17" s="12" t="inlineStr">
        <is>
          <t>创新维度</t>
        </is>
      </c>
      <c r="B17" s="7" t="inlineStr">
        <is>
          <t>研发投入占比</t>
        </is>
      </c>
      <c r="C17" s="7" t="inlineStr">
        <is>
          <t>研发费用占营业收入的比例</t>
        </is>
      </c>
      <c r="D17" s="7" t="inlineStr">
        <is>
          <t>研发费用/营业收入×100%</t>
        </is>
      </c>
      <c r="E17" s="7" t="inlineStr">
        <is>
          <t>财务系统</t>
        </is>
      </c>
      <c r="F17" s="6" t="inlineStr">
        <is>
          <t>≥5%</t>
        </is>
      </c>
      <c r="G17" s="6" t="inlineStr">
        <is>
          <t>年度</t>
        </is>
      </c>
      <c r="H17" s="6" t="inlineStr">
        <is>
          <t>研发部</t>
        </is>
      </c>
    </row>
    <row r="18">
      <c r="A18" s="12" t="inlineStr">
        <is>
          <t>创新维度</t>
        </is>
      </c>
      <c r="B18" s="7" t="inlineStr">
        <is>
          <t>新产品收入占比</t>
        </is>
      </c>
      <c r="C18" s="7" t="inlineStr">
        <is>
          <t>新产品收入占总收入的比例</t>
        </is>
      </c>
      <c r="D18" s="7" t="inlineStr">
        <is>
          <t>新产品收入/总收入×100%</t>
        </is>
      </c>
      <c r="E18" s="7" t="inlineStr">
        <is>
          <t>财务系统</t>
        </is>
      </c>
      <c r="F18" s="6" t="inlineStr">
        <is>
          <t>≥30%</t>
        </is>
      </c>
      <c r="G18" s="6" t="inlineStr">
        <is>
          <t>年度</t>
        </is>
      </c>
      <c r="H18" s="6" t="inlineStr">
        <is>
          <t>研发部</t>
        </is>
      </c>
    </row>
    <row r="19">
      <c r="A19" s="12" t="inlineStr">
        <is>
          <t>创新维度</t>
        </is>
      </c>
      <c r="B19" s="7" t="inlineStr">
        <is>
          <t>专利申请数</t>
        </is>
      </c>
      <c r="C19" s="7" t="inlineStr">
        <is>
          <t>年度申请的专利数量</t>
        </is>
      </c>
      <c r="D19" s="7" t="inlineStr">
        <is>
          <t>发明专利+实用新型数量</t>
        </is>
      </c>
      <c r="E19" s="7" t="inlineStr">
        <is>
          <t>PMO</t>
        </is>
      </c>
      <c r="F19" s="6" t="inlineStr">
        <is>
          <t>≥10件</t>
        </is>
      </c>
      <c r="G19" s="6" t="inlineStr">
        <is>
          <t>年度</t>
        </is>
      </c>
      <c r="H19" s="6" t="inlineStr">
        <is>
          <t>研发部</t>
        </is>
      </c>
    </row>
    <row r="20">
      <c r="A20" s="12" t="inlineStr">
        <is>
          <t>创新维度</t>
        </is>
      </c>
      <c r="B20" s="7" t="inlineStr">
        <is>
          <t>标准化模块数</t>
        </is>
      </c>
      <c r="C20" s="7" t="inlineStr">
        <is>
          <t>形成的标准化模块数量</t>
        </is>
      </c>
      <c r="D20" s="7" t="inlineStr">
        <is>
          <t>新增标准化模块数量</t>
        </is>
      </c>
      <c r="E20" s="7" t="inlineStr">
        <is>
          <t>技术平台</t>
        </is>
      </c>
      <c r="F20" s="6" t="inlineStr">
        <is>
          <t>≥20个</t>
        </is>
      </c>
      <c r="G20" s="6" t="inlineStr">
        <is>
          <t>年度</t>
        </is>
      </c>
      <c r="H20" s="6" t="inlineStr">
        <is>
          <t>研发部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  <col width="28" customWidth="1" min="4" max="4"/>
    <col width="8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8" t="inlineStr">
        <is>
          <t>销售部绩效指标体系</t>
        </is>
      </c>
    </row>
    <row r="2">
      <c r="A2" s="13" t="inlineStr">
        <is>
          <t>部门使命：开拓市场、获取订单、维护客户关系、确保回款</t>
        </is>
      </c>
    </row>
    <row r="4">
      <c r="A4" s="4" t="inlineStr">
        <is>
          <t>指标类别</t>
        </is>
      </c>
      <c r="B4" s="4" t="inlineStr">
        <is>
          <t>指标名称</t>
        </is>
      </c>
      <c r="C4" s="4" t="inlineStr">
        <is>
          <t>指标定义</t>
        </is>
      </c>
      <c r="D4" s="4" t="inlineStr">
        <is>
          <t>计算公式</t>
        </is>
      </c>
      <c r="E4" s="4" t="inlineStr">
        <is>
          <t>权重</t>
        </is>
      </c>
      <c r="F4" s="4" t="inlineStr">
        <is>
          <t>目标值</t>
        </is>
      </c>
      <c r="G4" s="4" t="inlineStr">
        <is>
          <t>数据来源</t>
        </is>
      </c>
      <c r="H4" s="4" t="inlineStr">
        <is>
          <t>考核周期</t>
        </is>
      </c>
      <c r="I4" s="4" t="inlineStr">
        <is>
          <t>责任岗位</t>
        </is>
      </c>
    </row>
    <row r="5">
      <c r="A5" s="9" t="inlineStr">
        <is>
          <t>业绩指标</t>
        </is>
      </c>
      <c r="B5" s="7" t="inlineStr">
        <is>
          <t>销售收入</t>
        </is>
      </c>
      <c r="C5" s="7" t="inlineStr">
        <is>
          <t>签订合同金额</t>
        </is>
      </c>
      <c r="D5" s="7" t="inlineStr">
        <is>
          <t>合同签订金额合计</t>
        </is>
      </c>
      <c r="E5" s="6" t="inlineStr">
        <is>
          <t>30%</t>
        </is>
      </c>
      <c r="F5" s="6" t="inlineStr">
        <is>
          <t>按人分配</t>
        </is>
      </c>
      <c r="G5" s="6" t="inlineStr">
        <is>
          <t>销售系统</t>
        </is>
      </c>
      <c r="H5" s="6" t="inlineStr">
        <is>
          <t>月度</t>
        </is>
      </c>
      <c r="I5" s="6" t="inlineStr">
        <is>
          <t>销售人员</t>
        </is>
      </c>
    </row>
    <row r="6">
      <c r="A6" s="9" t="inlineStr">
        <is>
          <t>业绩指标</t>
        </is>
      </c>
      <c r="B6" s="7" t="inlineStr">
        <is>
          <t>销售目标达成率</t>
        </is>
      </c>
      <c r="C6" s="7" t="inlineStr">
        <is>
          <t>实际销售额占目标的比例</t>
        </is>
      </c>
      <c r="D6" s="7" t="inlineStr">
        <is>
          <t>实际销售额/销售目标×100%</t>
        </is>
      </c>
      <c r="E6" s="6" t="inlineStr">
        <is>
          <t>15%</t>
        </is>
      </c>
      <c r="F6" s="6" t="inlineStr">
        <is>
          <t>≥100%</t>
        </is>
      </c>
      <c r="G6" s="6" t="inlineStr">
        <is>
          <t>销售系统</t>
        </is>
      </c>
      <c r="H6" s="6" t="inlineStr">
        <is>
          <t>月度</t>
        </is>
      </c>
      <c r="I6" s="6" t="inlineStr">
        <is>
          <t>销售人员</t>
        </is>
      </c>
    </row>
    <row r="7">
      <c r="A7" s="9" t="inlineStr">
        <is>
          <t>业绩指标</t>
        </is>
      </c>
      <c r="B7" s="7" t="inlineStr">
        <is>
          <t>回款金额</t>
        </is>
      </c>
      <c r="C7" s="7" t="inlineStr">
        <is>
          <t>实际回款金额</t>
        </is>
      </c>
      <c r="D7" s="7" t="inlineStr">
        <is>
          <t>回款金额合计</t>
        </is>
      </c>
      <c r="E7" s="6" t="inlineStr">
        <is>
          <t>15%</t>
        </is>
      </c>
      <c r="F7" s="6" t="inlineStr">
        <is>
          <t>按人分配</t>
        </is>
      </c>
      <c r="G7" s="6" t="inlineStr">
        <is>
          <t>财务系统</t>
        </is>
      </c>
      <c r="H7" s="6" t="inlineStr">
        <is>
          <t>月度</t>
        </is>
      </c>
      <c r="I7" s="6" t="inlineStr">
        <is>
          <t>销售人员</t>
        </is>
      </c>
    </row>
    <row r="8">
      <c r="A8" s="9" t="inlineStr">
        <is>
          <t>业绩指标</t>
        </is>
      </c>
      <c r="B8" s="7" t="inlineStr">
        <is>
          <t>回款率</t>
        </is>
      </c>
      <c r="C8" s="7" t="inlineStr">
        <is>
          <t>回款占应收的比例</t>
        </is>
      </c>
      <c r="D8" s="7" t="inlineStr">
        <is>
          <t>回款金额/应收账款×100%</t>
        </is>
      </c>
      <c r="E8" s="6" t="inlineStr">
        <is>
          <t>10%</t>
        </is>
      </c>
      <c r="F8" s="6" t="inlineStr">
        <is>
          <t>≥85%</t>
        </is>
      </c>
      <c r="G8" s="6" t="inlineStr">
        <is>
          <t>财务系统</t>
        </is>
      </c>
      <c r="H8" s="6" t="inlineStr">
        <is>
          <t>月度</t>
        </is>
      </c>
      <c r="I8" s="6" t="inlineStr">
        <is>
          <t>销售人员</t>
        </is>
      </c>
    </row>
    <row r="9">
      <c r="A9" s="10" t="inlineStr">
        <is>
          <t>客户指标</t>
        </is>
      </c>
      <c r="B9" s="7" t="inlineStr">
        <is>
          <t>新客户开发数</t>
        </is>
      </c>
      <c r="C9" s="7" t="inlineStr">
        <is>
          <t>新开发的客户数量</t>
        </is>
      </c>
      <c r="D9" s="7" t="inlineStr">
        <is>
          <t>新签约客户数量</t>
        </is>
      </c>
      <c r="E9" s="6" t="inlineStr">
        <is>
          <t>10%</t>
        </is>
      </c>
      <c r="F9" s="6" t="inlineStr">
        <is>
          <t>≥2家/月</t>
        </is>
      </c>
      <c r="G9" s="6" t="inlineStr">
        <is>
          <t>销售系统</t>
        </is>
      </c>
      <c r="H9" s="6" t="inlineStr">
        <is>
          <t>月度</t>
        </is>
      </c>
      <c r="I9" s="6" t="inlineStr">
        <is>
          <t>销售人员</t>
        </is>
      </c>
    </row>
    <row r="10">
      <c r="A10" s="10" t="inlineStr">
        <is>
          <t>客户指标</t>
        </is>
      </c>
      <c r="B10" s="7" t="inlineStr">
        <is>
          <t>客户拜访量</t>
        </is>
      </c>
      <c r="C10" s="7" t="inlineStr">
        <is>
          <t>拜访客户的次数</t>
        </is>
      </c>
      <c r="D10" s="7" t="inlineStr">
        <is>
          <t>有效拜访次数</t>
        </is>
      </c>
      <c r="E10" s="6" t="inlineStr">
        <is>
          <t>5%</t>
        </is>
      </c>
      <c r="F10" s="6" t="inlineStr">
        <is>
          <t>≥20次/月</t>
        </is>
      </c>
      <c r="G10" s="6" t="inlineStr">
        <is>
          <t>CRM系统</t>
        </is>
      </c>
      <c r="H10" s="6" t="inlineStr">
        <is>
          <t>月度</t>
        </is>
      </c>
      <c r="I10" s="6" t="inlineStr">
        <is>
          <t>销售人员</t>
        </is>
      </c>
    </row>
    <row r="11">
      <c r="A11" s="10" t="inlineStr">
        <is>
          <t>客户指标</t>
        </is>
      </c>
      <c r="B11" s="7" t="inlineStr">
        <is>
          <t>客户满意度</t>
        </is>
      </c>
      <c r="C11" s="7" t="inlineStr">
        <is>
          <t>客户满意度评分</t>
        </is>
      </c>
      <c r="D11" s="7" t="inlineStr">
        <is>
          <t>客户评价平均分</t>
        </is>
      </c>
      <c r="E11" s="6" t="inlineStr">
        <is>
          <t>5%</t>
        </is>
      </c>
      <c r="F11" s="6" t="inlineStr">
        <is>
          <t>≥90分</t>
        </is>
      </c>
      <c r="G11" s="6" t="inlineStr">
        <is>
          <t>客户调查</t>
        </is>
      </c>
      <c r="H11" s="6" t="inlineStr">
        <is>
          <t>季度</t>
        </is>
      </c>
      <c r="I11" s="6" t="inlineStr">
        <is>
          <t>销售人员</t>
        </is>
      </c>
    </row>
    <row r="12">
      <c r="A12" s="11" t="inlineStr">
        <is>
          <t>过程指标</t>
        </is>
      </c>
      <c r="B12" s="7" t="inlineStr">
        <is>
          <t>商机转化率</t>
        </is>
      </c>
      <c r="C12" s="7" t="inlineStr">
        <is>
          <t>商机转化为订单的比例</t>
        </is>
      </c>
      <c r="D12" s="7" t="inlineStr">
        <is>
          <t>签约商机数/总商机数×100%</t>
        </is>
      </c>
      <c r="E12" s="6" t="inlineStr">
        <is>
          <t>5%</t>
        </is>
      </c>
      <c r="F12" s="6" t="inlineStr">
        <is>
          <t>≥30%</t>
        </is>
      </c>
      <c r="G12" s="6" t="inlineStr">
        <is>
          <t>CRM系统</t>
        </is>
      </c>
      <c r="H12" s="6" t="inlineStr">
        <is>
          <t>季度</t>
        </is>
      </c>
      <c r="I12" s="6" t="inlineStr">
        <is>
          <t>销售人员</t>
        </is>
      </c>
    </row>
    <row r="13">
      <c r="A13" s="11" t="inlineStr">
        <is>
          <t>过程指标</t>
        </is>
      </c>
      <c r="B13" s="7" t="inlineStr">
        <is>
          <t>报价及时率</t>
        </is>
      </c>
      <c r="C13" s="7" t="inlineStr">
        <is>
          <t>按时提交报价的比例</t>
        </is>
      </c>
      <c r="D13" s="7" t="inlineStr">
        <is>
          <t>按时报价数/报价需求数×100%</t>
        </is>
      </c>
      <c r="E13" s="6" t="inlineStr">
        <is>
          <t>3%</t>
        </is>
      </c>
      <c r="F13" s="6" t="inlineStr">
        <is>
          <t>≥95%</t>
        </is>
      </c>
      <c r="G13" s="6" t="inlineStr">
        <is>
          <t>销售系统</t>
        </is>
      </c>
      <c r="H13" s="6" t="inlineStr">
        <is>
          <t>月度</t>
        </is>
      </c>
      <c r="I13" s="6" t="inlineStr">
        <is>
          <t>销售人员</t>
        </is>
      </c>
    </row>
    <row r="14">
      <c r="A14" s="11" t="inlineStr">
        <is>
          <t>过程指标</t>
        </is>
      </c>
      <c r="B14" s="7" t="inlineStr">
        <is>
          <t>合同评审通过率</t>
        </is>
      </c>
      <c r="C14" s="7" t="inlineStr">
        <is>
          <t>合同评审一次通过率</t>
        </is>
      </c>
      <c r="D14" s="7" t="inlineStr">
        <is>
          <t>一次通过数/评审总数×100%</t>
        </is>
      </c>
      <c r="E14" s="6" t="inlineStr">
        <is>
          <t>2%</t>
        </is>
      </c>
      <c r="F14" s="6" t="inlineStr">
        <is>
          <t>≥90%</t>
        </is>
      </c>
      <c r="G14" s="6" t="inlineStr">
        <is>
          <t>合同系统</t>
        </is>
      </c>
      <c r="H14" s="6" t="inlineStr">
        <is>
          <t>月度</t>
        </is>
      </c>
      <c r="I14" s="6" t="inlineStr">
        <is>
          <t>销售人员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  <col width="28" customWidth="1" min="4" max="4"/>
    <col width="8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8" t="inlineStr">
        <is>
          <t>研发部绩效指标体系</t>
        </is>
      </c>
    </row>
    <row r="2">
      <c r="A2" s="13" t="inlineStr">
        <is>
          <t>部门使命：技术创新、产品设计、标准化建设、技术支持</t>
        </is>
      </c>
    </row>
    <row r="4">
      <c r="A4" s="4" t="inlineStr">
        <is>
          <t>指标类别</t>
        </is>
      </c>
      <c r="B4" s="4" t="inlineStr">
        <is>
          <t>指标名称</t>
        </is>
      </c>
      <c r="C4" s="4" t="inlineStr">
        <is>
          <t>指标定义</t>
        </is>
      </c>
      <c r="D4" s="4" t="inlineStr">
        <is>
          <t>计算公式</t>
        </is>
      </c>
      <c r="E4" s="4" t="inlineStr">
        <is>
          <t>权重</t>
        </is>
      </c>
      <c r="F4" s="4" t="inlineStr">
        <is>
          <t>目标值</t>
        </is>
      </c>
      <c r="G4" s="4" t="inlineStr">
        <is>
          <t>数据来源</t>
        </is>
      </c>
      <c r="H4" s="4" t="inlineStr">
        <is>
          <t>考核周期</t>
        </is>
      </c>
      <c r="I4" s="4" t="inlineStr">
        <is>
          <t>责任岗位</t>
        </is>
      </c>
    </row>
    <row r="5">
      <c r="A5" s="9" t="inlineStr">
        <is>
          <t>项目交付</t>
        </is>
      </c>
      <c r="B5" s="7" t="inlineStr">
        <is>
          <t>设计按时完成率</t>
        </is>
      </c>
      <c r="C5" s="7" t="inlineStr">
        <is>
          <t>按计划完成设计的比例</t>
        </is>
      </c>
      <c r="D5" s="7" t="inlineStr">
        <is>
          <t>按时完成项目数/总项目数×100%</t>
        </is>
      </c>
      <c r="E5" s="6" t="inlineStr">
        <is>
          <t>20%</t>
        </is>
      </c>
      <c r="F5" s="6" t="inlineStr">
        <is>
          <t>≥90%</t>
        </is>
      </c>
      <c r="G5" s="6" t="inlineStr">
        <is>
          <t>项目系统</t>
        </is>
      </c>
      <c r="H5" s="6" t="inlineStr">
        <is>
          <t>月度</t>
        </is>
      </c>
      <c r="I5" s="6" t="inlineStr">
        <is>
          <t>设计工程师</t>
        </is>
      </c>
    </row>
    <row r="6">
      <c r="A6" s="9" t="inlineStr">
        <is>
          <t>项目交付</t>
        </is>
      </c>
      <c r="B6" s="7" t="inlineStr">
        <is>
          <t>设计一次通过率</t>
        </is>
      </c>
      <c r="C6" s="7" t="inlineStr">
        <is>
          <t>设计评审一次通过率</t>
        </is>
      </c>
      <c r="D6" s="7" t="inlineStr">
        <is>
          <t>一次通过数/评审总数×100%</t>
        </is>
      </c>
      <c r="E6" s="6" t="inlineStr">
        <is>
          <t>15%</t>
        </is>
      </c>
      <c r="F6" s="6" t="inlineStr">
        <is>
          <t>≥85%</t>
        </is>
      </c>
      <c r="G6" s="6" t="inlineStr">
        <is>
          <t>项目系统</t>
        </is>
      </c>
      <c r="H6" s="6" t="inlineStr">
        <is>
          <t>月度</t>
        </is>
      </c>
      <c r="I6" s="6" t="inlineStr">
        <is>
          <t>设计工程师</t>
        </is>
      </c>
    </row>
    <row r="7">
      <c r="A7" s="9" t="inlineStr">
        <is>
          <t>项目交付</t>
        </is>
      </c>
      <c r="B7" s="7" t="inlineStr">
        <is>
          <t>BOM准确率</t>
        </is>
      </c>
      <c r="C7" s="7" t="inlineStr">
        <is>
          <t>BOM发布后变更率</t>
        </is>
      </c>
      <c r="D7" s="7" t="inlineStr">
        <is>
          <t>(1-BOM变更次数/BOM发布数)×100%</t>
        </is>
      </c>
      <c r="E7" s="6" t="inlineStr">
        <is>
          <t>10%</t>
        </is>
      </c>
      <c r="F7" s="6" t="inlineStr">
        <is>
          <t>≥95%</t>
        </is>
      </c>
      <c r="G7" s="6" t="inlineStr">
        <is>
          <t>PLM系统</t>
        </is>
      </c>
      <c r="H7" s="6" t="inlineStr">
        <is>
          <t>月度</t>
        </is>
      </c>
      <c r="I7" s="6" t="inlineStr">
        <is>
          <t>设计工程师</t>
        </is>
      </c>
    </row>
    <row r="8">
      <c r="A8" s="9" t="inlineStr">
        <is>
          <t>项目交付</t>
        </is>
      </c>
      <c r="B8" s="7" t="inlineStr">
        <is>
          <t>设计变更率</t>
        </is>
      </c>
      <c r="C8" s="7" t="inlineStr">
        <is>
          <t>ECN数量占项目的比例</t>
        </is>
      </c>
      <c r="D8" s="7" t="inlineStr">
        <is>
          <t>ECN数量/项目数×100%</t>
        </is>
      </c>
      <c r="E8" s="6" t="inlineStr">
        <is>
          <t>10%</t>
        </is>
      </c>
      <c r="F8" s="6" t="inlineStr">
        <is>
          <t>≤5%</t>
        </is>
      </c>
      <c r="G8" s="6" t="inlineStr">
        <is>
          <t>PLM系统</t>
        </is>
      </c>
      <c r="H8" s="6" t="inlineStr">
        <is>
          <t>月度</t>
        </is>
      </c>
      <c r="I8" s="6" t="inlineStr">
        <is>
          <t>设计工程师</t>
        </is>
      </c>
    </row>
    <row r="9">
      <c r="A9" s="10" t="inlineStr">
        <is>
          <t>技术创新</t>
        </is>
      </c>
      <c r="B9" s="7" t="inlineStr">
        <is>
          <t>专利申请数</t>
        </is>
      </c>
      <c r="C9" s="7" t="inlineStr">
        <is>
          <t>申请的专利数量</t>
        </is>
      </c>
      <c r="D9" s="7" t="inlineStr">
        <is>
          <t>发明专利+实用新型数量</t>
        </is>
      </c>
      <c r="E9" s="6" t="inlineStr">
        <is>
          <t>10%</t>
        </is>
      </c>
      <c r="F9" s="6" t="inlineStr">
        <is>
          <t>≥1件/季</t>
        </is>
      </c>
      <c r="G9" s="6" t="inlineStr">
        <is>
          <t>知识产权</t>
        </is>
      </c>
      <c r="H9" s="6" t="inlineStr">
        <is>
          <t>季度</t>
        </is>
      </c>
      <c r="I9" s="6" t="inlineStr">
        <is>
          <t>设计工程师</t>
        </is>
      </c>
    </row>
    <row r="10">
      <c r="A10" s="10" t="inlineStr">
        <is>
          <t>技术创新</t>
        </is>
      </c>
      <c r="B10" s="7" t="inlineStr">
        <is>
          <t>标准化模块数</t>
        </is>
      </c>
      <c r="C10" s="7" t="inlineStr">
        <is>
          <t>新增标准化模块</t>
        </is>
      </c>
      <c r="D10" s="7" t="inlineStr">
        <is>
          <t>新增标准化模块数量</t>
        </is>
      </c>
      <c r="E10" s="6" t="inlineStr">
        <is>
          <t>10%</t>
        </is>
      </c>
      <c r="F10" s="6" t="inlineStr">
        <is>
          <t>≥5个/季</t>
        </is>
      </c>
      <c r="G10" s="6" t="inlineStr">
        <is>
          <t>技术平台</t>
        </is>
      </c>
      <c r="H10" s="6" t="inlineStr">
        <is>
          <t>季度</t>
        </is>
      </c>
      <c r="I10" s="6" t="inlineStr">
        <is>
          <t>设计工程师</t>
        </is>
      </c>
    </row>
    <row r="11">
      <c r="A11" s="10" t="inlineStr">
        <is>
          <t>技术创新</t>
        </is>
      </c>
      <c r="B11" s="7" t="inlineStr">
        <is>
          <t>技术文档完成率</t>
        </is>
      </c>
      <c r="C11" s="7" t="inlineStr">
        <is>
          <t>技术文档编写完成率</t>
        </is>
      </c>
      <c r="D11" s="7" t="inlineStr">
        <is>
          <t>完成文档数/应编写文档数×100%</t>
        </is>
      </c>
      <c r="E11" s="6" t="inlineStr">
        <is>
          <t>5%</t>
        </is>
      </c>
      <c r="F11" s="6" t="inlineStr">
        <is>
          <t>≥95%</t>
        </is>
      </c>
      <c r="G11" s="6" t="inlineStr">
        <is>
          <t>PLM系统</t>
        </is>
      </c>
      <c r="H11" s="6" t="inlineStr">
        <is>
          <t>月度</t>
        </is>
      </c>
      <c r="I11" s="6" t="inlineStr">
        <is>
          <t>设计工程师</t>
        </is>
      </c>
    </row>
    <row r="12">
      <c r="A12" s="11" t="inlineStr">
        <is>
          <t>支持服务</t>
        </is>
      </c>
      <c r="B12" s="7" t="inlineStr">
        <is>
          <t>技术问题响应率</t>
        </is>
      </c>
      <c r="C12" s="7" t="inlineStr">
        <is>
          <t>技术问题及时响应率</t>
        </is>
      </c>
      <c r="D12" s="7" t="inlineStr">
        <is>
          <t>24h内响应数/问题总数×100%</t>
        </is>
      </c>
      <c r="E12" s="6" t="inlineStr">
        <is>
          <t>10%</t>
        </is>
      </c>
      <c r="F12" s="6" t="inlineStr">
        <is>
          <t>≥95%</t>
        </is>
      </c>
      <c r="G12" s="6" t="inlineStr">
        <is>
          <t>问题系统</t>
        </is>
      </c>
      <c r="H12" s="6" t="inlineStr">
        <is>
          <t>月度</t>
        </is>
      </c>
      <c r="I12" s="6" t="inlineStr">
        <is>
          <t>设计工程师</t>
        </is>
      </c>
    </row>
    <row r="13">
      <c r="A13" s="11" t="inlineStr">
        <is>
          <t>支持服务</t>
        </is>
      </c>
      <c r="B13" s="7" t="inlineStr">
        <is>
          <t>技术问题解决率</t>
        </is>
      </c>
      <c r="C13" s="7" t="inlineStr">
        <is>
          <t>技术问题解决闭环率</t>
        </is>
      </c>
      <c r="D13" s="7" t="inlineStr">
        <is>
          <t>已解决数/问题总数×100%</t>
        </is>
      </c>
      <c r="E13" s="6" t="inlineStr">
        <is>
          <t>5%</t>
        </is>
      </c>
      <c r="F13" s="6" t="inlineStr">
        <is>
          <t>≥90%</t>
        </is>
      </c>
      <c r="G13" s="6" t="inlineStr">
        <is>
          <t>问题系统</t>
        </is>
      </c>
      <c r="H13" s="6" t="inlineStr">
        <is>
          <t>月度</t>
        </is>
      </c>
      <c r="I13" s="6" t="inlineStr">
        <is>
          <t>设计工程师</t>
        </is>
      </c>
    </row>
    <row r="14">
      <c r="A14" s="11" t="inlineStr">
        <is>
          <t>支持服务</t>
        </is>
      </c>
      <c r="B14" s="7" t="inlineStr">
        <is>
          <t>生产支持及时率</t>
        </is>
      </c>
      <c r="C14" s="7" t="inlineStr">
        <is>
          <t>生产技术问题支持及时率</t>
        </is>
      </c>
      <c r="D14" s="7" t="inlineStr">
        <is>
          <t>及时支持次数/支持需求数×100%</t>
        </is>
      </c>
      <c r="E14" s="6" t="inlineStr">
        <is>
          <t>5%</t>
        </is>
      </c>
      <c r="F14" s="6" t="inlineStr">
        <is>
          <t>≥95%</t>
        </is>
      </c>
      <c r="G14" s="6" t="inlineStr">
        <is>
          <t>生产系统</t>
        </is>
      </c>
      <c r="H14" s="6" t="inlineStr">
        <is>
          <t>月度</t>
        </is>
      </c>
      <c r="I14" s="6" t="inlineStr">
        <is>
          <t>设计工程师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  <col width="28" customWidth="1" min="4" max="4"/>
    <col width="8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8" t="inlineStr">
        <is>
          <t>生产部绩效指标体系</t>
        </is>
      </c>
    </row>
    <row r="2">
      <c r="A2" s="13" t="inlineStr">
        <is>
          <t>部门使命：按质按量按期完成设备生产装配、调试交付</t>
        </is>
      </c>
    </row>
    <row r="4">
      <c r="A4" s="4" t="inlineStr">
        <is>
          <t>指标类别</t>
        </is>
      </c>
      <c r="B4" s="4" t="inlineStr">
        <is>
          <t>指标名称</t>
        </is>
      </c>
      <c r="C4" s="4" t="inlineStr">
        <is>
          <t>指标定义</t>
        </is>
      </c>
      <c r="D4" s="4" t="inlineStr">
        <is>
          <t>计算公式</t>
        </is>
      </c>
      <c r="E4" s="4" t="inlineStr">
        <is>
          <t>权重</t>
        </is>
      </c>
      <c r="F4" s="4" t="inlineStr">
        <is>
          <t>目标值</t>
        </is>
      </c>
      <c r="G4" s="4" t="inlineStr">
        <is>
          <t>数据来源</t>
        </is>
      </c>
      <c r="H4" s="4" t="inlineStr">
        <is>
          <t>考核周期</t>
        </is>
      </c>
      <c r="I4" s="4" t="inlineStr">
        <is>
          <t>责任岗位</t>
        </is>
      </c>
    </row>
    <row r="5">
      <c r="A5" s="9" t="inlineStr">
        <is>
          <t>交付指标</t>
        </is>
      </c>
      <c r="B5" s="7" t="inlineStr">
        <is>
          <t>生产按时完成率</t>
        </is>
      </c>
      <c r="C5" s="7" t="inlineStr">
        <is>
          <t>按计划完成生产的比例</t>
        </is>
      </c>
      <c r="D5" s="7" t="inlineStr">
        <is>
          <t>按时完成数/计划数×100%</t>
        </is>
      </c>
      <c r="E5" s="6" t="inlineStr">
        <is>
          <t>25%</t>
        </is>
      </c>
      <c r="F5" s="6" t="inlineStr">
        <is>
          <t>≥95%</t>
        </is>
      </c>
      <c r="G5" s="6" t="inlineStr">
        <is>
          <t>生产系统</t>
        </is>
      </c>
      <c r="H5" s="6" t="inlineStr">
        <is>
          <t>周</t>
        </is>
      </c>
      <c r="I5" s="6" t="inlineStr">
        <is>
          <t>生产主管</t>
        </is>
      </c>
    </row>
    <row r="6">
      <c r="A6" s="9" t="inlineStr">
        <is>
          <t>交付指标</t>
        </is>
      </c>
      <c r="B6" s="7" t="inlineStr">
        <is>
          <t>调试按时完成率</t>
        </is>
      </c>
      <c r="C6" s="7" t="inlineStr">
        <is>
          <t>按计划完成调试的比例</t>
        </is>
      </c>
      <c r="D6" s="7" t="inlineStr">
        <is>
          <t>按时完成数/计划数×100%</t>
        </is>
      </c>
      <c r="E6" s="6" t="inlineStr">
        <is>
          <t>20%</t>
        </is>
      </c>
      <c r="F6" s="6" t="inlineStr">
        <is>
          <t>≥90%</t>
        </is>
      </c>
      <c r="G6" s="6" t="inlineStr">
        <is>
          <t>项目系统</t>
        </is>
      </c>
      <c r="H6" s="6" t="inlineStr">
        <is>
          <t>周</t>
        </is>
      </c>
      <c r="I6" s="6" t="inlineStr">
        <is>
          <t>调试工程师</t>
        </is>
      </c>
    </row>
    <row r="7">
      <c r="A7" s="9" t="inlineStr">
        <is>
          <t>交付指标</t>
        </is>
      </c>
      <c r="B7" s="7" t="inlineStr">
        <is>
          <t>调试一次通过率</t>
        </is>
      </c>
      <c r="C7" s="7" t="inlineStr">
        <is>
          <t>调试一次通过的比例</t>
        </is>
      </c>
      <c r="D7" s="7" t="inlineStr">
        <is>
          <t>一次通过数/调试总数×100%</t>
        </is>
      </c>
      <c r="E7" s="6" t="inlineStr">
        <is>
          <t>15%</t>
        </is>
      </c>
      <c r="F7" s="6" t="inlineStr">
        <is>
          <t>≥85%</t>
        </is>
      </c>
      <c r="G7" s="6" t="inlineStr">
        <is>
          <t>项目系统</t>
        </is>
      </c>
      <c r="H7" s="6" t="inlineStr">
        <is>
          <t>月度</t>
        </is>
      </c>
      <c r="I7" s="6" t="inlineStr">
        <is>
          <t>调试工程师</t>
        </is>
      </c>
    </row>
    <row r="8">
      <c r="A8" s="10" t="inlineStr">
        <is>
          <t>质量指标</t>
        </is>
      </c>
      <c r="B8" s="7" t="inlineStr">
        <is>
          <t>装配不良率</t>
        </is>
      </c>
      <c r="C8" s="7" t="inlineStr">
        <is>
          <t>装配过程中的不良比例</t>
        </is>
      </c>
      <c r="D8" s="7" t="inlineStr">
        <is>
          <t>不良工序数/总工序数×100%</t>
        </is>
      </c>
      <c r="E8" s="6" t="inlineStr">
        <is>
          <t>10%</t>
        </is>
      </c>
      <c r="F8" s="6" t="inlineStr">
        <is>
          <t>≤2%</t>
        </is>
      </c>
      <c r="G8" s="6" t="inlineStr">
        <is>
          <t>品质系统</t>
        </is>
      </c>
      <c r="H8" s="6" t="inlineStr">
        <is>
          <t>周</t>
        </is>
      </c>
      <c r="I8" s="6" t="inlineStr">
        <is>
          <t>装配工</t>
        </is>
      </c>
    </row>
    <row r="9">
      <c r="A9" s="10" t="inlineStr">
        <is>
          <t>质量指标</t>
        </is>
      </c>
      <c r="B9" s="7" t="inlineStr">
        <is>
          <t>返工率</t>
        </is>
      </c>
      <c r="C9" s="7" t="inlineStr">
        <is>
          <t>返工项目占比</t>
        </is>
      </c>
      <c r="D9" s="7" t="inlineStr">
        <is>
          <t>返工项目数/总项目数×100%</t>
        </is>
      </c>
      <c r="E9" s="6" t="inlineStr">
        <is>
          <t>10%</t>
        </is>
      </c>
      <c r="F9" s="6" t="inlineStr">
        <is>
          <t>≤5%</t>
        </is>
      </c>
      <c r="G9" s="6" t="inlineStr">
        <is>
          <t>生产系统</t>
        </is>
      </c>
      <c r="H9" s="6" t="inlineStr">
        <is>
          <t>月度</t>
        </is>
      </c>
      <c r="I9" s="6" t="inlineStr">
        <is>
          <t>生产主管</t>
        </is>
      </c>
    </row>
    <row r="10">
      <c r="A10" s="10" t="inlineStr">
        <is>
          <t>质量指标</t>
        </is>
      </c>
      <c r="B10" s="7" t="inlineStr">
        <is>
          <t>FAT通过率</t>
        </is>
      </c>
      <c r="C10" s="7" t="inlineStr">
        <is>
          <t>客户FAT一次通过率</t>
        </is>
      </c>
      <c r="D10" s="7" t="inlineStr">
        <is>
          <t>一次通过数/FAT总数×100%</t>
        </is>
      </c>
      <c r="E10" s="6" t="inlineStr">
        <is>
          <t>10%</t>
        </is>
      </c>
      <c r="F10" s="6" t="inlineStr">
        <is>
          <t>≥90%</t>
        </is>
      </c>
      <c r="G10" s="6" t="inlineStr">
        <is>
          <t>项目系统</t>
        </is>
      </c>
      <c r="H10" s="6" t="inlineStr">
        <is>
          <t>月度</t>
        </is>
      </c>
      <c r="I10" s="6" t="inlineStr">
        <is>
          <t>调试工程师</t>
        </is>
      </c>
    </row>
    <row r="11">
      <c r="A11" s="11" t="inlineStr">
        <is>
          <t>效率指标</t>
        </is>
      </c>
      <c r="B11" s="7" t="inlineStr">
        <is>
          <t>工时利用率</t>
        </is>
      </c>
      <c r="C11" s="7" t="inlineStr">
        <is>
          <t>有效工时占总工时比例</t>
        </is>
      </c>
      <c r="D11" s="7" t="inlineStr">
        <is>
          <t>有效工时/总工时×100%</t>
        </is>
      </c>
      <c r="E11" s="6" t="inlineStr">
        <is>
          <t>5%</t>
        </is>
      </c>
      <c r="F11" s="6" t="inlineStr">
        <is>
          <t>≥85%</t>
        </is>
      </c>
      <c r="G11" s="6" t="inlineStr">
        <is>
          <t>工时系统</t>
        </is>
      </c>
      <c r="H11" s="6" t="inlineStr">
        <is>
          <t>月度</t>
        </is>
      </c>
      <c r="I11" s="6" t="inlineStr">
        <is>
          <t>生产主管</t>
        </is>
      </c>
    </row>
    <row r="12">
      <c r="A12" s="11" t="inlineStr">
        <is>
          <t>效率指标</t>
        </is>
      </c>
      <c r="B12" s="7" t="inlineStr">
        <is>
          <t>设备利用率</t>
        </is>
      </c>
      <c r="C12" s="7" t="inlineStr">
        <is>
          <t>设备有效使用时间比例</t>
        </is>
      </c>
      <c r="D12" s="7" t="inlineStr">
        <is>
          <t>设备使用时间/可用时间×100%</t>
        </is>
      </c>
      <c r="E12" s="6" t="inlineStr">
        <is>
          <t>3%</t>
        </is>
      </c>
      <c r="F12" s="6" t="inlineStr">
        <is>
          <t>≥80%</t>
        </is>
      </c>
      <c r="G12" s="6" t="inlineStr">
        <is>
          <t>设备系统</t>
        </is>
      </c>
      <c r="H12" s="6" t="inlineStr">
        <is>
          <t>月度</t>
        </is>
      </c>
      <c r="I12" s="6" t="inlineStr">
        <is>
          <t>生产主管</t>
        </is>
      </c>
    </row>
    <row r="13">
      <c r="A13" s="11" t="inlineStr">
        <is>
          <t>效率指标</t>
        </is>
      </c>
      <c r="B13" s="7" t="inlineStr">
        <is>
          <t>5S执行率</t>
        </is>
      </c>
      <c r="C13" s="7" t="inlineStr">
        <is>
          <t>5S检查得分</t>
        </is>
      </c>
      <c r="D13" s="7" t="inlineStr">
        <is>
          <t>5S检查平均分</t>
        </is>
      </c>
      <c r="E13" s="6" t="inlineStr">
        <is>
          <t>2%</t>
        </is>
      </c>
      <c r="F13" s="6" t="inlineStr">
        <is>
          <t>≥90分</t>
        </is>
      </c>
      <c r="G13" s="6" t="inlineStr">
        <is>
          <t>检查记录</t>
        </is>
      </c>
      <c r="H13" s="6" t="inlineStr">
        <is>
          <t>月度</t>
        </is>
      </c>
      <c r="I13" s="6" t="inlineStr">
        <is>
          <t>生产主管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  <col width="28" customWidth="1" min="4" max="4"/>
    <col width="8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8" t="inlineStr">
        <is>
          <t>采购部绩效指标体系</t>
        </is>
      </c>
    </row>
    <row r="2">
      <c r="A2" s="13" t="inlineStr">
        <is>
          <t>部门使命：确保物料供应及时、成本可控、质量合格</t>
        </is>
      </c>
    </row>
    <row r="4">
      <c r="A4" s="4" t="inlineStr">
        <is>
          <t>指标类别</t>
        </is>
      </c>
      <c r="B4" s="4" t="inlineStr">
        <is>
          <t>指标名称</t>
        </is>
      </c>
      <c r="C4" s="4" t="inlineStr">
        <is>
          <t>指标定义</t>
        </is>
      </c>
      <c r="D4" s="4" t="inlineStr">
        <is>
          <t>计算公式</t>
        </is>
      </c>
      <c r="E4" s="4" t="inlineStr">
        <is>
          <t>权重</t>
        </is>
      </c>
      <c r="F4" s="4" t="inlineStr">
        <is>
          <t>目标值</t>
        </is>
      </c>
      <c r="G4" s="4" t="inlineStr">
        <is>
          <t>数据来源</t>
        </is>
      </c>
      <c r="H4" s="4" t="inlineStr">
        <is>
          <t>考核周期</t>
        </is>
      </c>
      <c r="I4" s="4" t="inlineStr">
        <is>
          <t>责任岗位</t>
        </is>
      </c>
    </row>
    <row r="5">
      <c r="A5" s="9" t="inlineStr">
        <is>
          <t>交付指标</t>
        </is>
      </c>
      <c r="B5" s="7" t="inlineStr">
        <is>
          <t>物料齐套率</t>
        </is>
      </c>
      <c r="C5" s="7" t="inlineStr">
        <is>
          <t>按时齐套的项目比例</t>
        </is>
      </c>
      <c r="D5" s="7" t="inlineStr">
        <is>
          <t>按时齐套项目数/总项目数×100%</t>
        </is>
      </c>
      <c r="E5" s="6" t="inlineStr">
        <is>
          <t>25%</t>
        </is>
      </c>
      <c r="F5" s="6" t="inlineStr">
        <is>
          <t>≥95%</t>
        </is>
      </c>
      <c r="G5" s="6" t="inlineStr">
        <is>
          <t>采购系统</t>
        </is>
      </c>
      <c r="H5" s="6" t="inlineStr">
        <is>
          <t>周</t>
        </is>
      </c>
      <c r="I5" s="6" t="inlineStr">
        <is>
          <t>采购员</t>
        </is>
      </c>
    </row>
    <row r="6">
      <c r="A6" s="9" t="inlineStr">
        <is>
          <t>交付指标</t>
        </is>
      </c>
      <c r="B6" s="7" t="inlineStr">
        <is>
          <t>采购及时率</t>
        </is>
      </c>
      <c r="C6" s="7" t="inlineStr">
        <is>
          <t>按时到货的采购订单比例</t>
        </is>
      </c>
      <c r="D6" s="7" t="inlineStr">
        <is>
          <t>按时到货订单数/总订单数×100%</t>
        </is>
      </c>
      <c r="E6" s="6" t="inlineStr">
        <is>
          <t>20%</t>
        </is>
      </c>
      <c r="F6" s="6" t="inlineStr">
        <is>
          <t>≥90%</t>
        </is>
      </c>
      <c r="G6" s="6" t="inlineStr">
        <is>
          <t>采购系统</t>
        </is>
      </c>
      <c r="H6" s="6" t="inlineStr">
        <is>
          <t>周</t>
        </is>
      </c>
      <c r="I6" s="6" t="inlineStr">
        <is>
          <t>采购员</t>
        </is>
      </c>
    </row>
    <row r="7">
      <c r="A7" s="9" t="inlineStr">
        <is>
          <t>交付指标</t>
        </is>
      </c>
      <c r="B7" s="7" t="inlineStr">
        <is>
          <t>紧急采购响应率</t>
        </is>
      </c>
      <c r="C7" s="7" t="inlineStr">
        <is>
          <t>紧急需求2小时内响应率</t>
        </is>
      </c>
      <c r="D7" s="7" t="inlineStr">
        <is>
          <t>及时响应数/紧急需求数×100%</t>
        </is>
      </c>
      <c r="E7" s="6" t="inlineStr">
        <is>
          <t>10%</t>
        </is>
      </c>
      <c r="F7" s="6" t="inlineStr">
        <is>
          <t>≥95%</t>
        </is>
      </c>
      <c r="G7" s="6" t="inlineStr">
        <is>
          <t>需求系统</t>
        </is>
      </c>
      <c r="H7" s="6" t="inlineStr">
        <is>
          <t>月度</t>
        </is>
      </c>
      <c r="I7" s="6" t="inlineStr">
        <is>
          <t>采购员</t>
        </is>
      </c>
    </row>
    <row r="8">
      <c r="A8" s="10" t="inlineStr">
        <is>
          <t>成本指标</t>
        </is>
      </c>
      <c r="B8" s="7" t="inlineStr">
        <is>
          <t>采购成本节约率</t>
        </is>
      </c>
      <c r="C8" s="7" t="inlineStr">
        <is>
          <t>相比预算的成本节约</t>
        </is>
      </c>
      <c r="D8" s="7" t="inlineStr">
        <is>
          <t>(预算-实际)/预算×100%</t>
        </is>
      </c>
      <c r="E8" s="6" t="inlineStr">
        <is>
          <t>15%</t>
        </is>
      </c>
      <c r="F8" s="6" t="inlineStr">
        <is>
          <t>≥3%</t>
        </is>
      </c>
      <c r="G8" s="6" t="inlineStr">
        <is>
          <t>财务系统</t>
        </is>
      </c>
      <c r="H8" s="6" t="inlineStr">
        <is>
          <t>季度</t>
        </is>
      </c>
      <c r="I8" s="6" t="inlineStr">
        <is>
          <t>采购员</t>
        </is>
      </c>
    </row>
    <row r="9">
      <c r="A9" s="10" t="inlineStr">
        <is>
          <t>成本指标</t>
        </is>
      </c>
      <c r="B9" s="7" t="inlineStr">
        <is>
          <t>价格对标合格率</t>
        </is>
      </c>
      <c r="C9" s="7" t="inlineStr">
        <is>
          <t>价格符合市场水平的比例</t>
        </is>
      </c>
      <c r="D9" s="7" t="inlineStr">
        <is>
          <t>合格物料数/采购物料数×100%</t>
        </is>
      </c>
      <c r="E9" s="6" t="inlineStr">
        <is>
          <t>5%</t>
        </is>
      </c>
      <c r="F9" s="6" t="inlineStr">
        <is>
          <t>≥95%</t>
        </is>
      </c>
      <c r="G9" s="6" t="inlineStr">
        <is>
          <t>比价系统</t>
        </is>
      </c>
      <c r="H9" s="6" t="inlineStr">
        <is>
          <t>季度</t>
        </is>
      </c>
      <c r="I9" s="6" t="inlineStr">
        <is>
          <t>采购员</t>
        </is>
      </c>
    </row>
    <row r="10">
      <c r="A10" s="11" t="inlineStr">
        <is>
          <t>质量指标</t>
        </is>
      </c>
      <c r="B10" s="7" t="inlineStr">
        <is>
          <t>来料合格率</t>
        </is>
      </c>
      <c r="C10" s="7" t="inlineStr">
        <is>
          <t>来料检验合格的比例</t>
        </is>
      </c>
      <c r="D10" s="7" t="inlineStr">
        <is>
          <t>合格批次/检验批次×100%</t>
        </is>
      </c>
      <c r="E10" s="6" t="inlineStr">
        <is>
          <t>10%</t>
        </is>
      </c>
      <c r="F10" s="6" t="inlineStr">
        <is>
          <t>≥98%</t>
        </is>
      </c>
      <c r="G10" s="6" t="inlineStr">
        <is>
          <t>品质系统</t>
        </is>
      </c>
      <c r="H10" s="6" t="inlineStr">
        <is>
          <t>月度</t>
        </is>
      </c>
      <c r="I10" s="6" t="inlineStr">
        <is>
          <t>采购员</t>
        </is>
      </c>
    </row>
    <row r="11">
      <c r="A11" s="11" t="inlineStr">
        <is>
          <t>质量指标</t>
        </is>
      </c>
      <c r="B11" s="7" t="inlineStr">
        <is>
          <t>供应商合格率</t>
        </is>
      </c>
      <c r="C11" s="7" t="inlineStr">
        <is>
          <t>合格供应商占比</t>
        </is>
      </c>
      <c r="D11" s="7" t="inlineStr">
        <is>
          <t>合格供应商数/总供应商数×100%</t>
        </is>
      </c>
      <c r="E11" s="6" t="inlineStr">
        <is>
          <t>5%</t>
        </is>
      </c>
      <c r="F11" s="6" t="inlineStr">
        <is>
          <t>≥90%</t>
        </is>
      </c>
      <c r="G11" s="6" t="inlineStr">
        <is>
          <t>供应商系统</t>
        </is>
      </c>
      <c r="H11" s="6" t="inlineStr">
        <is>
          <t>季度</t>
        </is>
      </c>
      <c r="I11" s="6" t="inlineStr">
        <is>
          <t>采购员</t>
        </is>
      </c>
    </row>
    <row r="12">
      <c r="A12" s="12" t="inlineStr">
        <is>
          <t>管理指标</t>
        </is>
      </c>
      <c r="B12" s="7" t="inlineStr">
        <is>
          <t>订单准确率</t>
        </is>
      </c>
      <c r="C12" s="7" t="inlineStr">
        <is>
          <t>采购订单无差错比例</t>
        </is>
      </c>
      <c r="D12" s="7" t="inlineStr">
        <is>
          <t>无差错订单数/总订单数×100%</t>
        </is>
      </c>
      <c r="E12" s="6" t="inlineStr">
        <is>
          <t>5%</t>
        </is>
      </c>
      <c r="F12" s="6" t="inlineStr">
        <is>
          <t>≥98%</t>
        </is>
      </c>
      <c r="G12" s="6" t="inlineStr">
        <is>
          <t>采购系统</t>
        </is>
      </c>
      <c r="H12" s="6" t="inlineStr">
        <is>
          <t>月度</t>
        </is>
      </c>
      <c r="I12" s="6" t="inlineStr">
        <is>
          <t>采购员</t>
        </is>
      </c>
    </row>
    <row r="13">
      <c r="A13" s="12" t="inlineStr">
        <is>
          <t>管理指标</t>
        </is>
      </c>
      <c r="B13" s="7" t="inlineStr">
        <is>
          <t>供应商开发数</t>
        </is>
      </c>
      <c r="C13" s="7" t="inlineStr">
        <is>
          <t>新开发的合格供应商数</t>
        </is>
      </c>
      <c r="D13" s="7" t="inlineStr">
        <is>
          <t>新增合格供应商数量</t>
        </is>
      </c>
      <c r="E13" s="6" t="inlineStr">
        <is>
          <t>5%</t>
        </is>
      </c>
      <c r="F13" s="6" t="inlineStr">
        <is>
          <t>≥5家/季</t>
        </is>
      </c>
      <c r="G13" s="6" t="inlineStr">
        <is>
          <t>供应商系统</t>
        </is>
      </c>
      <c r="H13" s="6" t="inlineStr">
        <is>
          <t>季度</t>
        </is>
      </c>
      <c r="I13" s="6" t="inlineStr">
        <is>
          <t>采购员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  <col width="28" customWidth="1" min="4" max="4"/>
    <col width="8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8" t="inlineStr">
        <is>
          <t>品质部绩效指标体系</t>
        </is>
      </c>
    </row>
    <row r="2">
      <c r="A2" s="13" t="inlineStr">
        <is>
          <t>部门使命：确保产品质量、推动质量改进、处理客户投诉</t>
        </is>
      </c>
    </row>
    <row r="4">
      <c r="A4" s="4" t="inlineStr">
        <is>
          <t>指标类别</t>
        </is>
      </c>
      <c r="B4" s="4" t="inlineStr">
        <is>
          <t>指标名称</t>
        </is>
      </c>
      <c r="C4" s="4" t="inlineStr">
        <is>
          <t>指标定义</t>
        </is>
      </c>
      <c r="D4" s="4" t="inlineStr">
        <is>
          <t>计算公式</t>
        </is>
      </c>
      <c r="E4" s="4" t="inlineStr">
        <is>
          <t>权重</t>
        </is>
      </c>
      <c r="F4" s="4" t="inlineStr">
        <is>
          <t>目标值</t>
        </is>
      </c>
      <c r="G4" s="4" t="inlineStr">
        <is>
          <t>数据来源</t>
        </is>
      </c>
      <c r="H4" s="4" t="inlineStr">
        <is>
          <t>考核周期</t>
        </is>
      </c>
      <c r="I4" s="4" t="inlineStr">
        <is>
          <t>责任岗位</t>
        </is>
      </c>
    </row>
    <row r="5">
      <c r="A5" s="9" t="inlineStr">
        <is>
          <t>检验指标</t>
        </is>
      </c>
      <c r="B5" s="7" t="inlineStr">
        <is>
          <t>IQC检验及时率</t>
        </is>
      </c>
      <c r="C5" s="7" t="inlineStr">
        <is>
          <t>来料检验及时完成率</t>
        </is>
      </c>
      <c r="D5" s="7" t="inlineStr">
        <is>
          <t>及时完成数/检验任务数×100%</t>
        </is>
      </c>
      <c r="E5" s="6" t="inlineStr">
        <is>
          <t>15%</t>
        </is>
      </c>
      <c r="F5" s="6" t="inlineStr">
        <is>
          <t>≥98%</t>
        </is>
      </c>
      <c r="G5" s="6" t="inlineStr">
        <is>
          <t>品质系统</t>
        </is>
      </c>
      <c r="H5" s="6" t="inlineStr">
        <is>
          <t>周</t>
        </is>
      </c>
      <c r="I5" s="6" t="inlineStr">
        <is>
          <t>IQC</t>
        </is>
      </c>
    </row>
    <row r="6">
      <c r="A6" s="9" t="inlineStr">
        <is>
          <t>检验指标</t>
        </is>
      </c>
      <c r="B6" s="7" t="inlineStr">
        <is>
          <t>IPQC检查覆盖率</t>
        </is>
      </c>
      <c r="C6" s="7" t="inlineStr">
        <is>
          <t>过程检查覆盖率</t>
        </is>
      </c>
      <c r="D6" s="7" t="inlineStr">
        <is>
          <t>检查工序数/总工序数×100%</t>
        </is>
      </c>
      <c r="E6" s="6" t="inlineStr">
        <is>
          <t>10%</t>
        </is>
      </c>
      <c r="F6" s="6" t="inlineStr">
        <is>
          <t>≥90%</t>
        </is>
      </c>
      <c r="G6" s="6" t="inlineStr">
        <is>
          <t>品质系统</t>
        </is>
      </c>
      <c r="H6" s="6" t="inlineStr">
        <is>
          <t>周</t>
        </is>
      </c>
      <c r="I6" s="6" t="inlineStr">
        <is>
          <t>IPQC</t>
        </is>
      </c>
    </row>
    <row r="7">
      <c r="A7" s="9" t="inlineStr">
        <is>
          <t>检验指标</t>
        </is>
      </c>
      <c r="B7" s="7" t="inlineStr">
        <is>
          <t>OQC检验及时率</t>
        </is>
      </c>
      <c r="C7" s="7" t="inlineStr">
        <is>
          <t>出货检验及时完成率</t>
        </is>
      </c>
      <c r="D7" s="7" t="inlineStr">
        <is>
          <t>及时完成数/检验任务数×100%</t>
        </is>
      </c>
      <c r="E7" s="6" t="inlineStr">
        <is>
          <t>15%</t>
        </is>
      </c>
      <c r="F7" s="6" t="inlineStr">
        <is>
          <t>≥98%</t>
        </is>
      </c>
      <c r="G7" s="6" t="inlineStr">
        <is>
          <t>品质系统</t>
        </is>
      </c>
      <c r="H7" s="6" t="inlineStr">
        <is>
          <t>周</t>
        </is>
      </c>
      <c r="I7" s="6" t="inlineStr">
        <is>
          <t>OQC</t>
        </is>
      </c>
    </row>
    <row r="8">
      <c r="A8" s="10" t="inlineStr">
        <is>
          <t>质量指标</t>
        </is>
      </c>
      <c r="B8" s="7" t="inlineStr">
        <is>
          <t>产品合格率</t>
        </is>
      </c>
      <c r="C8" s="7" t="inlineStr">
        <is>
          <t>产品最终检验合格率</t>
        </is>
      </c>
      <c r="D8" s="7" t="inlineStr">
        <is>
          <t>合格产品数/检验产品数×100%</t>
        </is>
      </c>
      <c r="E8" s="6" t="inlineStr">
        <is>
          <t>20%</t>
        </is>
      </c>
      <c r="F8" s="6" t="inlineStr">
        <is>
          <t>≥98%</t>
        </is>
      </c>
      <c r="G8" s="6" t="inlineStr">
        <is>
          <t>品质系统</t>
        </is>
      </c>
      <c r="H8" s="6" t="inlineStr">
        <is>
          <t>月度</t>
        </is>
      </c>
      <c r="I8" s="6" t="inlineStr">
        <is>
          <t>品质主管</t>
        </is>
      </c>
    </row>
    <row r="9">
      <c r="A9" s="10" t="inlineStr">
        <is>
          <t>质量指标</t>
        </is>
      </c>
      <c r="B9" s="7" t="inlineStr">
        <is>
          <t>客诉处理及时率</t>
        </is>
      </c>
      <c r="C9" s="7" t="inlineStr">
        <is>
          <t>客诉3天内响应率</t>
        </is>
      </c>
      <c r="D9" s="7" t="inlineStr">
        <is>
          <t>及时响应数/客诉数×100%</t>
        </is>
      </c>
      <c r="E9" s="6" t="inlineStr">
        <is>
          <t>10%</t>
        </is>
      </c>
      <c r="F9" s="6" t="inlineStr">
        <is>
          <t>≥100%</t>
        </is>
      </c>
      <c r="G9" s="6" t="inlineStr">
        <is>
          <t>客诉系统</t>
        </is>
      </c>
      <c r="H9" s="6" t="inlineStr">
        <is>
          <t>月度</t>
        </is>
      </c>
      <c r="I9" s="6" t="inlineStr">
        <is>
          <t>品质工程师</t>
        </is>
      </c>
    </row>
    <row r="10">
      <c r="A10" s="10" t="inlineStr">
        <is>
          <t>质量指标</t>
        </is>
      </c>
      <c r="B10" s="7" t="inlineStr">
        <is>
          <t>客诉关闭率</t>
        </is>
      </c>
      <c r="C10" s="7" t="inlineStr">
        <is>
          <t>客诉问题关闭率</t>
        </is>
      </c>
      <c r="D10" s="7" t="inlineStr">
        <is>
          <t>已关闭数/客诉总数×100%</t>
        </is>
      </c>
      <c r="E10" s="6" t="inlineStr">
        <is>
          <t>10%</t>
        </is>
      </c>
      <c r="F10" s="6" t="inlineStr">
        <is>
          <t>≥95%</t>
        </is>
      </c>
      <c r="G10" s="6" t="inlineStr">
        <is>
          <t>客诉系统</t>
        </is>
      </c>
      <c r="H10" s="6" t="inlineStr">
        <is>
          <t>月度</t>
        </is>
      </c>
      <c r="I10" s="6" t="inlineStr">
        <is>
          <t>品质工程师</t>
        </is>
      </c>
    </row>
    <row r="11">
      <c r="A11" s="11" t="inlineStr">
        <is>
          <t>改进指标</t>
        </is>
      </c>
      <c r="B11" s="7" t="inlineStr">
        <is>
          <t>质量改进项目数</t>
        </is>
      </c>
      <c r="C11" s="7" t="inlineStr">
        <is>
          <t>完成的质量改进项目</t>
        </is>
      </c>
      <c r="D11" s="7" t="inlineStr">
        <is>
          <t>完成改进项目数量</t>
        </is>
      </c>
      <c r="E11" s="6" t="inlineStr">
        <is>
          <t>10%</t>
        </is>
      </c>
      <c r="F11" s="6" t="inlineStr">
        <is>
          <t>≥3项/季</t>
        </is>
      </c>
      <c r="G11" s="6" t="inlineStr">
        <is>
          <t>改进系统</t>
        </is>
      </c>
      <c r="H11" s="6" t="inlineStr">
        <is>
          <t>季度</t>
        </is>
      </c>
      <c r="I11" s="6" t="inlineStr">
        <is>
          <t>品质工程师</t>
        </is>
      </c>
    </row>
    <row r="12">
      <c r="A12" s="11" t="inlineStr">
        <is>
          <t>改进指标</t>
        </is>
      </c>
      <c r="B12" s="7" t="inlineStr">
        <is>
          <t>不良分析报告</t>
        </is>
      </c>
      <c r="C12" s="7" t="inlineStr">
        <is>
          <t>完成的不良分析报告</t>
        </is>
      </c>
      <c r="D12" s="7" t="inlineStr">
        <is>
          <t>完成报告数量</t>
        </is>
      </c>
      <c r="E12" s="6" t="inlineStr">
        <is>
          <t>5%</t>
        </is>
      </c>
      <c r="F12" s="6" t="inlineStr">
        <is>
          <t>≥5份/月</t>
        </is>
      </c>
      <c r="G12" s="6" t="inlineStr">
        <is>
          <t>品质系统</t>
        </is>
      </c>
      <c r="H12" s="6" t="inlineStr">
        <is>
          <t>月度</t>
        </is>
      </c>
      <c r="I12" s="6" t="inlineStr">
        <is>
          <t>品质工程师</t>
        </is>
      </c>
    </row>
    <row r="13">
      <c r="A13" s="11" t="inlineStr">
        <is>
          <t>改进指标</t>
        </is>
      </c>
      <c r="B13" s="7" t="inlineStr">
        <is>
          <t>供应商质量辅导</t>
        </is>
      </c>
      <c r="C13" s="7" t="inlineStr">
        <is>
          <t>供应商质量辅导次数</t>
        </is>
      </c>
      <c r="D13" s="7" t="inlineStr">
        <is>
          <t>辅导次数</t>
        </is>
      </c>
      <c r="E13" s="6" t="inlineStr">
        <is>
          <t>5%</t>
        </is>
      </c>
      <c r="F13" s="6" t="inlineStr">
        <is>
          <t>≥2次/季</t>
        </is>
      </c>
      <c r="G13" s="6" t="inlineStr">
        <is>
          <t>供应商系统</t>
        </is>
      </c>
      <c r="H13" s="6" t="inlineStr">
        <is>
          <t>季度</t>
        </is>
      </c>
      <c r="I13" s="6" t="inlineStr">
        <is>
          <t>SQE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  <col width="28" customWidth="1" min="4" max="4"/>
    <col width="8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8" t="inlineStr">
        <is>
          <t>PMC部绩效指标体系</t>
        </is>
      </c>
    </row>
    <row r="2">
      <c r="A2" s="13" t="inlineStr">
        <is>
          <t>部门使命：生产计划管控、物料计划、库存管理、交期协调</t>
        </is>
      </c>
    </row>
    <row r="4">
      <c r="A4" s="4" t="inlineStr">
        <is>
          <t>指标类别</t>
        </is>
      </c>
      <c r="B4" s="4" t="inlineStr">
        <is>
          <t>指标名称</t>
        </is>
      </c>
      <c r="C4" s="4" t="inlineStr">
        <is>
          <t>指标定义</t>
        </is>
      </c>
      <c r="D4" s="4" t="inlineStr">
        <is>
          <t>计算公式</t>
        </is>
      </c>
      <c r="E4" s="4" t="inlineStr">
        <is>
          <t>权重</t>
        </is>
      </c>
      <c r="F4" s="4" t="inlineStr">
        <is>
          <t>目标值</t>
        </is>
      </c>
      <c r="G4" s="4" t="inlineStr">
        <is>
          <t>数据来源</t>
        </is>
      </c>
      <c r="H4" s="4" t="inlineStr">
        <is>
          <t>考核周期</t>
        </is>
      </c>
      <c r="I4" s="4" t="inlineStr">
        <is>
          <t>责任岗位</t>
        </is>
      </c>
    </row>
    <row r="5">
      <c r="A5" s="9" t="inlineStr">
        <is>
          <t>计划指标</t>
        </is>
      </c>
      <c r="B5" s="7" t="inlineStr">
        <is>
          <t>生产计划达成率</t>
        </is>
      </c>
      <c r="C5" s="7" t="inlineStr">
        <is>
          <t>生产计划按时完成率</t>
        </is>
      </c>
      <c r="D5" s="7" t="inlineStr">
        <is>
          <t>按时完成数/计划数×100%</t>
        </is>
      </c>
      <c r="E5" s="6" t="inlineStr">
        <is>
          <t>25%</t>
        </is>
      </c>
      <c r="F5" s="6" t="inlineStr">
        <is>
          <t>≥95%</t>
        </is>
      </c>
      <c r="G5" s="6" t="inlineStr">
        <is>
          <t>生产系统</t>
        </is>
      </c>
      <c r="H5" s="6" t="inlineStr">
        <is>
          <t>周</t>
        </is>
      </c>
      <c r="I5" s="6" t="inlineStr">
        <is>
          <t>PMC专员</t>
        </is>
      </c>
    </row>
    <row r="6">
      <c r="A6" s="9" t="inlineStr">
        <is>
          <t>计划指标</t>
        </is>
      </c>
      <c r="B6" s="7" t="inlineStr">
        <is>
          <t>计划调整率</t>
        </is>
      </c>
      <c r="C6" s="7" t="inlineStr">
        <is>
          <t>计划调整的频率</t>
        </is>
      </c>
      <c r="D6" s="7" t="inlineStr">
        <is>
          <t>调整次数/计划总数×100%</t>
        </is>
      </c>
      <c r="E6" s="6" t="inlineStr">
        <is>
          <t>10%</t>
        </is>
      </c>
      <c r="F6" s="6" t="inlineStr">
        <is>
          <t>≤10%</t>
        </is>
      </c>
      <c r="G6" s="6" t="inlineStr">
        <is>
          <t>生产系统</t>
        </is>
      </c>
      <c r="H6" s="6" t="inlineStr">
        <is>
          <t>月度</t>
        </is>
      </c>
      <c r="I6" s="6" t="inlineStr">
        <is>
          <t>PMC专员</t>
        </is>
      </c>
    </row>
    <row r="7">
      <c r="A7" s="9" t="inlineStr">
        <is>
          <t>计划指标</t>
        </is>
      </c>
      <c r="B7" s="7" t="inlineStr">
        <is>
          <t>交期回复准确率</t>
        </is>
      </c>
      <c r="C7" s="7" t="inlineStr">
        <is>
          <t>交期回复的准确性</t>
        </is>
      </c>
      <c r="D7" s="7" t="inlineStr">
        <is>
          <t>准确回复数/回复总数×100%</t>
        </is>
      </c>
      <c r="E7" s="6" t="inlineStr">
        <is>
          <t>15%</t>
        </is>
      </c>
      <c r="F7" s="6" t="inlineStr">
        <is>
          <t>≥90%</t>
        </is>
      </c>
      <c r="G7" s="6" t="inlineStr">
        <is>
          <t>项目系统</t>
        </is>
      </c>
      <c r="H7" s="6" t="inlineStr">
        <is>
          <t>月度</t>
        </is>
      </c>
      <c r="I7" s="6" t="inlineStr">
        <is>
          <t>PMC专员</t>
        </is>
      </c>
    </row>
    <row r="8">
      <c r="A8" s="10" t="inlineStr">
        <is>
          <t>物料指标</t>
        </is>
      </c>
      <c r="B8" s="7" t="inlineStr">
        <is>
          <t>物料计划准确率</t>
        </is>
      </c>
      <c r="C8" s="7" t="inlineStr">
        <is>
          <t>物料计划的准确性</t>
        </is>
      </c>
      <c r="D8" s="7" t="inlineStr">
        <is>
          <t>准确计划数/计划总数×100%</t>
        </is>
      </c>
      <c r="E8" s="6" t="inlineStr">
        <is>
          <t>15%</t>
        </is>
      </c>
      <c r="F8" s="6" t="inlineStr">
        <is>
          <t>≥95%</t>
        </is>
      </c>
      <c r="G8" s="6" t="inlineStr">
        <is>
          <t>MRP系统</t>
        </is>
      </c>
      <c r="H8" s="6" t="inlineStr">
        <is>
          <t>月度</t>
        </is>
      </c>
      <c r="I8" s="6" t="inlineStr">
        <is>
          <t>PMC专员</t>
        </is>
      </c>
    </row>
    <row r="9">
      <c r="A9" s="10" t="inlineStr">
        <is>
          <t>物料指标</t>
        </is>
      </c>
      <c r="B9" s="7" t="inlineStr">
        <is>
          <t>库存周转率</t>
        </is>
      </c>
      <c r="C9" s="7" t="inlineStr">
        <is>
          <t>库存周转效率</t>
        </is>
      </c>
      <c r="D9" s="7" t="inlineStr">
        <is>
          <t>年销售成本/平均库存</t>
        </is>
      </c>
      <c r="E9" s="6" t="inlineStr">
        <is>
          <t>10%</t>
        </is>
      </c>
      <c r="F9" s="6" t="inlineStr">
        <is>
          <t>≥6次/年</t>
        </is>
      </c>
      <c r="G9" s="6" t="inlineStr">
        <is>
          <t>库存系统</t>
        </is>
      </c>
      <c r="H9" s="6" t="inlineStr">
        <is>
          <t>季度</t>
        </is>
      </c>
      <c r="I9" s="6" t="inlineStr">
        <is>
          <t>仓库主管</t>
        </is>
      </c>
    </row>
    <row r="10">
      <c r="A10" s="10" t="inlineStr">
        <is>
          <t>物料指标</t>
        </is>
      </c>
      <c r="B10" s="7" t="inlineStr">
        <is>
          <t>库存准确率</t>
        </is>
      </c>
      <c r="C10" s="7" t="inlineStr">
        <is>
          <t>库存数据准确性</t>
        </is>
      </c>
      <c r="D10" s="7" t="inlineStr">
        <is>
          <t>准确物料数/抽查物料数×100%</t>
        </is>
      </c>
      <c r="E10" s="6" t="inlineStr">
        <is>
          <t>10%</t>
        </is>
      </c>
      <c r="F10" s="6" t="inlineStr">
        <is>
          <t>≥98%</t>
        </is>
      </c>
      <c r="G10" s="6" t="inlineStr">
        <is>
          <t>库存系统</t>
        </is>
      </c>
      <c r="H10" s="6" t="inlineStr">
        <is>
          <t>月度</t>
        </is>
      </c>
      <c r="I10" s="6" t="inlineStr">
        <is>
          <t>仓库主管</t>
        </is>
      </c>
    </row>
    <row r="11">
      <c r="A11" s="11" t="inlineStr">
        <is>
          <t>协调指标</t>
        </is>
      </c>
      <c r="B11" s="7" t="inlineStr">
        <is>
          <t>异常处理及时率</t>
        </is>
      </c>
      <c r="C11" s="7" t="inlineStr">
        <is>
          <t>异常问题及时处理率</t>
        </is>
      </c>
      <c r="D11" s="7" t="inlineStr">
        <is>
          <t>及时处理数/异常总数×100%</t>
        </is>
      </c>
      <c r="E11" s="6" t="inlineStr">
        <is>
          <t>10%</t>
        </is>
      </c>
      <c r="F11" s="6" t="inlineStr">
        <is>
          <t>≥95%</t>
        </is>
      </c>
      <c r="G11" s="6" t="inlineStr">
        <is>
          <t>异常系统</t>
        </is>
      </c>
      <c r="H11" s="6" t="inlineStr">
        <is>
          <t>周</t>
        </is>
      </c>
      <c r="I11" s="6" t="inlineStr">
        <is>
          <t>PMC专员</t>
        </is>
      </c>
    </row>
    <row r="12">
      <c r="A12" s="11" t="inlineStr">
        <is>
          <t>协调指标</t>
        </is>
      </c>
      <c r="B12" s="7" t="inlineStr">
        <is>
          <t>部门协调满意度</t>
        </is>
      </c>
      <c r="C12" s="7" t="inlineStr">
        <is>
          <t>相关部门满意度</t>
        </is>
      </c>
      <c r="D12" s="7" t="inlineStr">
        <is>
          <t>满意度调查平均分</t>
        </is>
      </c>
      <c r="E12" s="6" t="inlineStr">
        <is>
          <t>5%</t>
        </is>
      </c>
      <c r="F12" s="6" t="inlineStr">
        <is>
          <t>≥85分</t>
        </is>
      </c>
      <c r="G12" s="6" t="inlineStr">
        <is>
          <t>内部调查</t>
        </is>
      </c>
      <c r="H12" s="6" t="inlineStr">
        <is>
          <t>季度</t>
        </is>
      </c>
      <c r="I12" s="6" t="inlineStr">
        <is>
          <t>PMC主管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  <col width="28" customWidth="1" min="4" max="4"/>
    <col width="8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8" t="inlineStr">
        <is>
          <t>财务部绩效指标体系</t>
        </is>
      </c>
    </row>
    <row r="2">
      <c r="A2" s="13" t="inlineStr">
        <is>
          <t>部门使命：财务核算、成本管控、资金管理、财务分析</t>
        </is>
      </c>
    </row>
    <row r="4">
      <c r="A4" s="4" t="inlineStr">
        <is>
          <t>指标类别</t>
        </is>
      </c>
      <c r="B4" s="4" t="inlineStr">
        <is>
          <t>指标名称</t>
        </is>
      </c>
      <c r="C4" s="4" t="inlineStr">
        <is>
          <t>指标定义</t>
        </is>
      </c>
      <c r="D4" s="4" t="inlineStr">
        <is>
          <t>计算公式</t>
        </is>
      </c>
      <c r="E4" s="4" t="inlineStr">
        <is>
          <t>权重</t>
        </is>
      </c>
      <c r="F4" s="4" t="inlineStr">
        <is>
          <t>目标值</t>
        </is>
      </c>
      <c r="G4" s="4" t="inlineStr">
        <is>
          <t>数据来源</t>
        </is>
      </c>
      <c r="H4" s="4" t="inlineStr">
        <is>
          <t>考核周期</t>
        </is>
      </c>
      <c r="I4" s="4" t="inlineStr">
        <is>
          <t>责任岗位</t>
        </is>
      </c>
    </row>
    <row r="5">
      <c r="A5" s="9" t="inlineStr">
        <is>
          <t>核算指标</t>
        </is>
      </c>
      <c r="B5" s="7" t="inlineStr">
        <is>
          <t>账务处理及时率</t>
        </is>
      </c>
      <c r="C5" s="7" t="inlineStr">
        <is>
          <t>账务及时处理率</t>
        </is>
      </c>
      <c r="D5" s="7" t="inlineStr">
        <is>
          <t>及时处理数/账务总数×100%</t>
        </is>
      </c>
      <c r="E5" s="6" t="inlineStr">
        <is>
          <t>15%</t>
        </is>
      </c>
      <c r="F5" s="6" t="inlineStr">
        <is>
          <t>≥98%</t>
        </is>
      </c>
      <c r="G5" s="6" t="inlineStr">
        <is>
          <t>财务系统</t>
        </is>
      </c>
      <c r="H5" s="6" t="inlineStr">
        <is>
          <t>月度</t>
        </is>
      </c>
      <c r="I5" s="6" t="inlineStr">
        <is>
          <t>会计</t>
        </is>
      </c>
    </row>
    <row r="6">
      <c r="A6" s="9" t="inlineStr">
        <is>
          <t>核算指标</t>
        </is>
      </c>
      <c r="B6" s="7" t="inlineStr">
        <is>
          <t>报表准确率</t>
        </is>
      </c>
      <c r="C6" s="7" t="inlineStr">
        <is>
          <t>财务报表准确性</t>
        </is>
      </c>
      <c r="D6" s="7" t="inlineStr">
        <is>
          <t>准确报表数/报表总数×100%</t>
        </is>
      </c>
      <c r="E6" s="6" t="inlineStr">
        <is>
          <t>15%</t>
        </is>
      </c>
      <c r="F6" s="6" t="inlineStr">
        <is>
          <t>100%</t>
        </is>
      </c>
      <c r="G6" s="6" t="inlineStr">
        <is>
          <t>财务系统</t>
        </is>
      </c>
      <c r="H6" s="6" t="inlineStr">
        <is>
          <t>月度</t>
        </is>
      </c>
      <c r="I6" s="6" t="inlineStr">
        <is>
          <t>会计</t>
        </is>
      </c>
    </row>
    <row r="7">
      <c r="A7" s="9" t="inlineStr">
        <is>
          <t>核算指标</t>
        </is>
      </c>
      <c r="B7" s="7" t="inlineStr">
        <is>
          <t>项目成本核算及时率</t>
        </is>
      </c>
      <c r="C7" s="7" t="inlineStr">
        <is>
          <t>项目成本及时核算率</t>
        </is>
      </c>
      <c r="D7" s="7" t="inlineStr">
        <is>
          <t>及时完成数/项目数×100%</t>
        </is>
      </c>
      <c r="E7" s="6" t="inlineStr">
        <is>
          <t>10%</t>
        </is>
      </c>
      <c r="F7" s="6" t="inlineStr">
        <is>
          <t>≥95%</t>
        </is>
      </c>
      <c r="G7" s="6" t="inlineStr">
        <is>
          <t>财务系统</t>
        </is>
      </c>
      <c r="H7" s="6" t="inlineStr">
        <is>
          <t>月度</t>
        </is>
      </c>
      <c r="I7" s="6" t="inlineStr">
        <is>
          <t>成本会计</t>
        </is>
      </c>
    </row>
    <row r="8">
      <c r="A8" s="10" t="inlineStr">
        <is>
          <t>资金指标</t>
        </is>
      </c>
      <c r="B8" s="7" t="inlineStr">
        <is>
          <t>应收账款周转天数</t>
        </is>
      </c>
      <c r="C8" s="7" t="inlineStr">
        <is>
          <t>应收账款回收效率</t>
        </is>
      </c>
      <c r="D8" s="7" t="inlineStr">
        <is>
          <t>平均应收账款/日均销售额</t>
        </is>
      </c>
      <c r="E8" s="6" t="inlineStr">
        <is>
          <t>15%</t>
        </is>
      </c>
      <c r="F8" s="6" t="inlineStr">
        <is>
          <t>≤90天</t>
        </is>
      </c>
      <c r="G8" s="6" t="inlineStr">
        <is>
          <t>财务系统</t>
        </is>
      </c>
      <c r="H8" s="6" t="inlineStr">
        <is>
          <t>季度</t>
        </is>
      </c>
      <c r="I8" s="6" t="inlineStr">
        <is>
          <t>出纳</t>
        </is>
      </c>
    </row>
    <row r="9">
      <c r="A9" s="10" t="inlineStr">
        <is>
          <t>资金指标</t>
        </is>
      </c>
      <c r="B9" s="7" t="inlineStr">
        <is>
          <t>现金流预测准确率</t>
        </is>
      </c>
      <c r="C9" s="7" t="inlineStr">
        <is>
          <t>现金流预测准确性</t>
        </is>
      </c>
      <c r="D9" s="7" t="inlineStr">
        <is>
          <t>实际/预测差异≤10%的比例</t>
        </is>
      </c>
      <c r="E9" s="6" t="inlineStr">
        <is>
          <t>10%</t>
        </is>
      </c>
      <c r="F9" s="6" t="inlineStr">
        <is>
          <t>≥85%</t>
        </is>
      </c>
      <c r="G9" s="6" t="inlineStr">
        <is>
          <t>财务系统</t>
        </is>
      </c>
      <c r="H9" s="6" t="inlineStr">
        <is>
          <t>月度</t>
        </is>
      </c>
      <c r="I9" s="6" t="inlineStr">
        <is>
          <t>财务经理</t>
        </is>
      </c>
    </row>
    <row r="10">
      <c r="A10" s="10" t="inlineStr">
        <is>
          <t>资金指标</t>
        </is>
      </c>
      <c r="B10" s="7" t="inlineStr">
        <is>
          <t>付款计划执行率</t>
        </is>
      </c>
      <c r="C10" s="7" t="inlineStr">
        <is>
          <t>付款计划执行准确率</t>
        </is>
      </c>
      <c r="D10" s="7" t="inlineStr">
        <is>
          <t>按计划付款数/计划总数×100%</t>
        </is>
      </c>
      <c r="E10" s="6" t="inlineStr">
        <is>
          <t>10%</t>
        </is>
      </c>
      <c r="F10" s="6" t="inlineStr">
        <is>
          <t>≥95%</t>
        </is>
      </c>
      <c r="G10" s="6" t="inlineStr">
        <is>
          <t>财务系统</t>
        </is>
      </c>
      <c r="H10" s="6" t="inlineStr">
        <is>
          <t>月度</t>
        </is>
      </c>
      <c r="I10" s="6" t="inlineStr">
        <is>
          <t>出纳</t>
        </is>
      </c>
    </row>
    <row r="11">
      <c r="A11" s="11" t="inlineStr">
        <is>
          <t>管理指标</t>
        </is>
      </c>
      <c r="B11" s="7" t="inlineStr">
        <is>
          <t>预算执行偏差率</t>
        </is>
      </c>
      <c r="C11" s="7" t="inlineStr">
        <is>
          <t>预算执行偏差</t>
        </is>
      </c>
      <c r="D11" s="7" t="inlineStr">
        <is>
          <t>|实际-预算|/预算×100%</t>
        </is>
      </c>
      <c r="E11" s="6" t="inlineStr">
        <is>
          <t>10%</t>
        </is>
      </c>
      <c r="F11" s="6" t="inlineStr">
        <is>
          <t>≤5%</t>
        </is>
      </c>
      <c r="G11" s="6" t="inlineStr">
        <is>
          <t>财务系统</t>
        </is>
      </c>
      <c r="H11" s="6" t="inlineStr">
        <is>
          <t>月度</t>
        </is>
      </c>
      <c r="I11" s="6" t="inlineStr">
        <is>
          <t>财务经理</t>
        </is>
      </c>
    </row>
    <row r="12">
      <c r="A12" s="11" t="inlineStr">
        <is>
          <t>管理指标</t>
        </is>
      </c>
      <c r="B12" s="7" t="inlineStr">
        <is>
          <t>财务分析报告</t>
        </is>
      </c>
      <c r="C12" s="7" t="inlineStr">
        <is>
          <t>财务分析报告质量</t>
        </is>
      </c>
      <c r="D12" s="7" t="inlineStr">
        <is>
          <t>报告完成及质量评分</t>
        </is>
      </c>
      <c r="E12" s="6" t="inlineStr">
        <is>
          <t>10%</t>
        </is>
      </c>
      <c r="F12" s="6" t="inlineStr">
        <is>
          <t>≥90分</t>
        </is>
      </c>
      <c r="G12" s="6" t="inlineStr">
        <is>
          <t>管理层评价</t>
        </is>
      </c>
      <c r="H12" s="6" t="inlineStr">
        <is>
          <t>月度</t>
        </is>
      </c>
      <c r="I12" s="6" t="inlineStr">
        <is>
          <t>财务经理</t>
        </is>
      </c>
    </row>
    <row r="13">
      <c r="A13" s="11" t="inlineStr">
        <is>
          <t>管理指标</t>
        </is>
      </c>
      <c r="B13" s="7" t="inlineStr">
        <is>
          <t>税务合规率</t>
        </is>
      </c>
      <c r="C13" s="7" t="inlineStr">
        <is>
          <t>税务申报合规率</t>
        </is>
      </c>
      <c r="D13" s="7" t="inlineStr">
        <is>
          <t>合规申报数/申报总数×100%</t>
        </is>
      </c>
      <c r="E13" s="6" t="inlineStr">
        <is>
          <t>5%</t>
        </is>
      </c>
      <c r="F13" s="6" t="inlineStr">
        <is>
          <t>100%</t>
        </is>
      </c>
      <c r="G13" s="6" t="inlineStr">
        <is>
          <t>税务系统</t>
        </is>
      </c>
      <c r="H13" s="6" t="inlineStr">
        <is>
          <t>月度</t>
        </is>
      </c>
      <c r="I13" s="6" t="inlineStr">
        <is>
          <t>税务会计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  <col width="28" customWidth="1" min="4" max="4"/>
    <col width="8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8" t="inlineStr">
        <is>
          <t>人力资源部绩效指标体系</t>
        </is>
      </c>
    </row>
    <row r="2">
      <c r="A2" s="13" t="inlineStr">
        <is>
          <t>部门使命：人才招聘、培训发展、薪酬绩效、员工关系</t>
        </is>
      </c>
    </row>
    <row r="4">
      <c r="A4" s="4" t="inlineStr">
        <is>
          <t>指标类别</t>
        </is>
      </c>
      <c r="B4" s="4" t="inlineStr">
        <is>
          <t>指标名称</t>
        </is>
      </c>
      <c r="C4" s="4" t="inlineStr">
        <is>
          <t>指标定义</t>
        </is>
      </c>
      <c r="D4" s="4" t="inlineStr">
        <is>
          <t>计算公式</t>
        </is>
      </c>
      <c r="E4" s="4" t="inlineStr">
        <is>
          <t>权重</t>
        </is>
      </c>
      <c r="F4" s="4" t="inlineStr">
        <is>
          <t>目标值</t>
        </is>
      </c>
      <c r="G4" s="4" t="inlineStr">
        <is>
          <t>数据来源</t>
        </is>
      </c>
      <c r="H4" s="4" t="inlineStr">
        <is>
          <t>考核周期</t>
        </is>
      </c>
      <c r="I4" s="4" t="inlineStr">
        <is>
          <t>责任岗位</t>
        </is>
      </c>
    </row>
    <row r="5">
      <c r="A5" s="9" t="inlineStr">
        <is>
          <t>招聘指标</t>
        </is>
      </c>
      <c r="B5" s="7" t="inlineStr">
        <is>
          <t>招聘完成率</t>
        </is>
      </c>
      <c r="C5" s="7" t="inlineStr">
        <is>
          <t>招聘需求完成率</t>
        </is>
      </c>
      <c r="D5" s="7" t="inlineStr">
        <is>
          <t>实际入职数/招聘需求数×100%</t>
        </is>
      </c>
      <c r="E5" s="6" t="inlineStr">
        <is>
          <t>20%</t>
        </is>
      </c>
      <c r="F5" s="6" t="inlineStr">
        <is>
          <t>≥90%</t>
        </is>
      </c>
      <c r="G5" s="6" t="inlineStr">
        <is>
          <t>HR系统</t>
        </is>
      </c>
      <c r="H5" s="6" t="inlineStr">
        <is>
          <t>季度</t>
        </is>
      </c>
      <c r="I5" s="6" t="inlineStr">
        <is>
          <t>招聘专员</t>
        </is>
      </c>
    </row>
    <row r="6">
      <c r="A6" s="9" t="inlineStr">
        <is>
          <t>招聘指标</t>
        </is>
      </c>
      <c r="B6" s="7" t="inlineStr">
        <is>
          <t>招聘周期</t>
        </is>
      </c>
      <c r="C6" s="7" t="inlineStr">
        <is>
          <t>平均招聘周期</t>
        </is>
      </c>
      <c r="D6" s="7" t="inlineStr">
        <is>
          <t>平均招聘天数</t>
        </is>
      </c>
      <c r="E6" s="6" t="inlineStr">
        <is>
          <t>10%</t>
        </is>
      </c>
      <c r="F6" s="6" t="inlineStr">
        <is>
          <t>≤30天</t>
        </is>
      </c>
      <c r="G6" s="6" t="inlineStr">
        <is>
          <t>HR系统</t>
        </is>
      </c>
      <c r="H6" s="6" t="inlineStr">
        <is>
          <t>季度</t>
        </is>
      </c>
      <c r="I6" s="6" t="inlineStr">
        <is>
          <t>招聘专员</t>
        </is>
      </c>
    </row>
    <row r="7">
      <c r="A7" s="9" t="inlineStr">
        <is>
          <t>招聘指标</t>
        </is>
      </c>
      <c r="B7" s="7" t="inlineStr">
        <is>
          <t>试用期通过率</t>
        </is>
      </c>
      <c r="C7" s="7" t="inlineStr">
        <is>
          <t>试用期转正率</t>
        </is>
      </c>
      <c r="D7" s="7" t="inlineStr">
        <is>
          <t>转正人数/入职人数×100%</t>
        </is>
      </c>
      <c r="E7" s="6" t="inlineStr">
        <is>
          <t>10%</t>
        </is>
      </c>
      <c r="F7" s="6" t="inlineStr">
        <is>
          <t>≥85%</t>
        </is>
      </c>
      <c r="G7" s="6" t="inlineStr">
        <is>
          <t>HR系统</t>
        </is>
      </c>
      <c r="H7" s="6" t="inlineStr">
        <is>
          <t>季度</t>
        </is>
      </c>
      <c r="I7" s="6" t="inlineStr">
        <is>
          <t>招聘专员</t>
        </is>
      </c>
    </row>
    <row r="8">
      <c r="A8" s="10" t="inlineStr">
        <is>
          <t>培训指标</t>
        </is>
      </c>
      <c r="B8" s="7" t="inlineStr">
        <is>
          <t>培训计划完成率</t>
        </is>
      </c>
      <c r="C8" s="7" t="inlineStr">
        <is>
          <t>培训计划执行率</t>
        </is>
      </c>
      <c r="D8" s="7" t="inlineStr">
        <is>
          <t>完成培训数/计划培训数×100%</t>
        </is>
      </c>
      <c r="E8" s="6" t="inlineStr">
        <is>
          <t>15%</t>
        </is>
      </c>
      <c r="F8" s="6" t="inlineStr">
        <is>
          <t>≥90%</t>
        </is>
      </c>
      <c r="G8" s="6" t="inlineStr">
        <is>
          <t>培训系统</t>
        </is>
      </c>
      <c r="H8" s="6" t="inlineStr">
        <is>
          <t>季度</t>
        </is>
      </c>
      <c r="I8" s="6" t="inlineStr">
        <is>
          <t>培训专员</t>
        </is>
      </c>
    </row>
    <row r="9">
      <c r="A9" s="10" t="inlineStr">
        <is>
          <t>培训指标</t>
        </is>
      </c>
      <c r="B9" s="7" t="inlineStr">
        <is>
          <t>人均培训时数</t>
        </is>
      </c>
      <c r="C9" s="7" t="inlineStr">
        <is>
          <t>人均培训时长</t>
        </is>
      </c>
      <c r="D9" s="7" t="inlineStr">
        <is>
          <t>总培训时数/员工数</t>
        </is>
      </c>
      <c r="E9" s="6" t="inlineStr">
        <is>
          <t>5%</t>
        </is>
      </c>
      <c r="F9" s="6" t="inlineStr">
        <is>
          <t>≥24h/年</t>
        </is>
      </c>
      <c r="G9" s="6" t="inlineStr">
        <is>
          <t>培训系统</t>
        </is>
      </c>
      <c r="H9" s="6" t="inlineStr">
        <is>
          <t>年度</t>
        </is>
      </c>
      <c r="I9" s="6" t="inlineStr">
        <is>
          <t>培训专员</t>
        </is>
      </c>
    </row>
    <row r="10">
      <c r="A10" s="10" t="inlineStr">
        <is>
          <t>培训指标</t>
        </is>
      </c>
      <c r="B10" s="7" t="inlineStr">
        <is>
          <t>培训满意度</t>
        </is>
      </c>
      <c r="C10" s="7" t="inlineStr">
        <is>
          <t>培训满意度评分</t>
        </is>
      </c>
      <c r="D10" s="7" t="inlineStr">
        <is>
          <t>培训评价平均分</t>
        </is>
      </c>
      <c r="E10" s="6" t="inlineStr">
        <is>
          <t>5%</t>
        </is>
      </c>
      <c r="F10" s="6" t="inlineStr">
        <is>
          <t>≥85分</t>
        </is>
      </c>
      <c r="G10" s="6" t="inlineStr">
        <is>
          <t>培训系统</t>
        </is>
      </c>
      <c r="H10" s="6" t="inlineStr">
        <is>
          <t>季度</t>
        </is>
      </c>
      <c r="I10" s="6" t="inlineStr">
        <is>
          <t>培训专员</t>
        </is>
      </c>
    </row>
    <row r="11">
      <c r="A11" s="11" t="inlineStr">
        <is>
          <t>员工关系</t>
        </is>
      </c>
      <c r="B11" s="7" t="inlineStr">
        <is>
          <t>员工离职率</t>
        </is>
      </c>
      <c r="C11" s="7" t="inlineStr">
        <is>
          <t>年度员工离职率</t>
        </is>
      </c>
      <c r="D11" s="7" t="inlineStr">
        <is>
          <t>离职人数/平均在职人数×100%</t>
        </is>
      </c>
      <c r="E11" s="6" t="inlineStr">
        <is>
          <t>15%</t>
        </is>
      </c>
      <c r="F11" s="6" t="inlineStr">
        <is>
          <t>≤15%</t>
        </is>
      </c>
      <c r="G11" s="6" t="inlineStr">
        <is>
          <t>HR系统</t>
        </is>
      </c>
      <c r="H11" s="6" t="inlineStr">
        <is>
          <t>年度</t>
        </is>
      </c>
      <c r="I11" s="6" t="inlineStr">
        <is>
          <t>HR主管</t>
        </is>
      </c>
    </row>
    <row r="12">
      <c r="A12" s="11" t="inlineStr">
        <is>
          <t>员工关系</t>
        </is>
      </c>
      <c r="B12" s="7" t="inlineStr">
        <is>
          <t>关键人才保留率</t>
        </is>
      </c>
      <c r="C12" s="7" t="inlineStr">
        <is>
          <t>核心人才保留率</t>
        </is>
      </c>
      <c r="D12" s="7" t="inlineStr">
        <is>
          <t>在职核心人才/年初核心人才×100%</t>
        </is>
      </c>
      <c r="E12" s="6" t="inlineStr">
        <is>
          <t>10%</t>
        </is>
      </c>
      <c r="F12" s="6" t="inlineStr">
        <is>
          <t>≥90%</t>
        </is>
      </c>
      <c r="G12" s="6" t="inlineStr">
        <is>
          <t>HR系统</t>
        </is>
      </c>
      <c r="H12" s="6" t="inlineStr">
        <is>
          <t>年度</t>
        </is>
      </c>
      <c r="I12" s="6" t="inlineStr">
        <is>
          <t>HR主管</t>
        </is>
      </c>
    </row>
    <row r="13">
      <c r="A13" s="11" t="inlineStr">
        <is>
          <t>员工关系</t>
        </is>
      </c>
      <c r="B13" s="7" t="inlineStr">
        <is>
          <t>薪酬发放准确率</t>
        </is>
      </c>
      <c r="C13" s="7" t="inlineStr">
        <is>
          <t>薪酬计算准确率</t>
        </is>
      </c>
      <c r="D13" s="7" t="inlineStr">
        <is>
          <t>准确发放人数/总人数×100%</t>
        </is>
      </c>
      <c r="E13" s="6" t="inlineStr">
        <is>
          <t>10%</t>
        </is>
      </c>
      <c r="F13" s="6" t="inlineStr">
        <is>
          <t>100%</t>
        </is>
      </c>
      <c r="G13" s="6" t="inlineStr">
        <is>
          <t>薪酬系统</t>
        </is>
      </c>
      <c r="H13" s="6" t="inlineStr">
        <is>
          <t>月度</t>
        </is>
      </c>
      <c r="I13" s="6" t="inlineStr">
        <is>
          <t>薪酬专员</t>
        </is>
      </c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30" customWidth="1" min="4" max="4"/>
    <col width="8" customWidth="1" min="5" max="5"/>
    <col width="12" customWidth="1" min="6" max="6"/>
    <col width="15" customWidth="1" min="7" max="7"/>
    <col width="12" customWidth="1" min="8" max="8"/>
  </cols>
  <sheetData>
    <row r="1">
      <c r="A1" s="8" t="inlineStr">
        <is>
          <t>项目级绩效指标体系</t>
        </is>
      </c>
    </row>
    <row r="2">
      <c r="A2" s="13" t="inlineStr">
        <is>
          <t>适用于：订单项目（客户设备）、研发项目（自主研发）</t>
        </is>
      </c>
    </row>
    <row r="4">
      <c r="A4" s="4" t="inlineStr">
        <is>
          <t>项目类型</t>
        </is>
      </c>
      <c r="B4" s="4" t="inlineStr">
        <is>
          <t>指标类别</t>
        </is>
      </c>
      <c r="C4" s="4" t="inlineStr">
        <is>
          <t>指标名称</t>
        </is>
      </c>
      <c r="D4" s="4" t="inlineStr">
        <is>
          <t>计算公式</t>
        </is>
      </c>
      <c r="E4" s="4" t="inlineStr">
        <is>
          <t>权重</t>
        </is>
      </c>
      <c r="F4" s="4" t="inlineStr">
        <is>
          <t>目标值</t>
        </is>
      </c>
      <c r="G4" s="4" t="inlineStr">
        <is>
          <t>考核对象</t>
        </is>
      </c>
      <c r="H4" s="4" t="inlineStr">
        <is>
          <t>数据来源</t>
        </is>
      </c>
    </row>
    <row r="5">
      <c r="A5" s="9" t="inlineStr">
        <is>
          <t>订单项目</t>
        </is>
      </c>
      <c r="B5" s="6" t="inlineStr">
        <is>
          <t>交付指标</t>
        </is>
      </c>
      <c r="C5" s="7" t="inlineStr">
        <is>
          <t>按时交付率</t>
        </is>
      </c>
      <c r="D5" s="7" t="inlineStr">
        <is>
          <t>实际交付日≤合同交付日</t>
        </is>
      </c>
      <c r="E5" s="6" t="inlineStr">
        <is>
          <t>30%</t>
        </is>
      </c>
      <c r="F5" s="6" t="inlineStr">
        <is>
          <t>100%</t>
        </is>
      </c>
      <c r="G5" s="6" t="inlineStr">
        <is>
          <t>铁三角</t>
        </is>
      </c>
      <c r="H5" s="6" t="inlineStr">
        <is>
          <t>项目系统</t>
        </is>
      </c>
    </row>
    <row r="6">
      <c r="A6" s="9" t="inlineStr">
        <is>
          <t>订单项目</t>
        </is>
      </c>
      <c r="B6" s="6" t="inlineStr">
        <is>
          <t>交付指标</t>
        </is>
      </c>
      <c r="C6" s="7" t="inlineStr">
        <is>
          <t>里程碑达成率</t>
        </is>
      </c>
      <c r="D6" s="7" t="inlineStr">
        <is>
          <t>按时完成里程碑数/总里程碑数×100%</t>
        </is>
      </c>
      <c r="E6" s="6" t="inlineStr">
        <is>
          <t>10%</t>
        </is>
      </c>
      <c r="F6" s="6" t="inlineStr">
        <is>
          <t>≥90%</t>
        </is>
      </c>
      <c r="G6" s="6" t="inlineStr">
        <is>
          <t>铁三角</t>
        </is>
      </c>
      <c r="H6" s="6" t="inlineStr">
        <is>
          <t>项目系统</t>
        </is>
      </c>
    </row>
    <row r="7">
      <c r="A7" s="9" t="inlineStr">
        <is>
          <t>订单项目</t>
        </is>
      </c>
      <c r="B7" s="6" t="inlineStr">
        <is>
          <t>成本指标</t>
        </is>
      </c>
      <c r="C7" s="7" t="inlineStr">
        <is>
          <t>项目毛利率</t>
        </is>
      </c>
      <c r="D7" s="7" t="inlineStr">
        <is>
          <t>(合同额-实际成本)/合同额×100%</t>
        </is>
      </c>
      <c r="E7" s="6" t="inlineStr">
        <is>
          <t>25%</t>
        </is>
      </c>
      <c r="F7" s="6" t="inlineStr">
        <is>
          <t>≥25%</t>
        </is>
      </c>
      <c r="G7" s="6" t="inlineStr">
        <is>
          <t>铁三角</t>
        </is>
      </c>
      <c r="H7" s="6" t="inlineStr">
        <is>
          <t>财务系统</t>
        </is>
      </c>
    </row>
    <row r="8">
      <c r="A8" s="9" t="inlineStr">
        <is>
          <t>订单项目</t>
        </is>
      </c>
      <c r="B8" s="6" t="inlineStr">
        <is>
          <t>成本指标</t>
        </is>
      </c>
      <c r="C8" s="7" t="inlineStr">
        <is>
          <t>成本偏差率</t>
        </is>
      </c>
      <c r="D8" s="7" t="inlineStr">
        <is>
          <t>(实际成本-预算成本)/预算成本×100%</t>
        </is>
      </c>
      <c r="E8" s="6" t="inlineStr">
        <is>
          <t>10%</t>
        </is>
      </c>
      <c r="F8" s="6" t="inlineStr">
        <is>
          <t>≤5%</t>
        </is>
      </c>
      <c r="G8" s="6" t="inlineStr">
        <is>
          <t>铁三角</t>
        </is>
      </c>
      <c r="H8" s="6" t="inlineStr">
        <is>
          <t>财务系统</t>
        </is>
      </c>
    </row>
    <row r="9">
      <c r="A9" s="9" t="inlineStr">
        <is>
          <t>订单项目</t>
        </is>
      </c>
      <c r="B9" s="6" t="inlineStr">
        <is>
          <t>质量指标</t>
        </is>
      </c>
      <c r="C9" s="7" t="inlineStr">
        <is>
          <t>设计变更次数</t>
        </is>
      </c>
      <c r="D9" s="7" t="inlineStr">
        <is>
          <t>ECN数量</t>
        </is>
      </c>
      <c r="E9" s="6" t="inlineStr">
        <is>
          <t>10%</t>
        </is>
      </c>
      <c r="F9" s="6" t="inlineStr">
        <is>
          <t>≤3次</t>
        </is>
      </c>
      <c r="G9" s="6" t="inlineStr">
        <is>
          <t>铁三角</t>
        </is>
      </c>
      <c r="H9" s="6" t="inlineStr">
        <is>
          <t>PLM系统</t>
        </is>
      </c>
    </row>
    <row r="10">
      <c r="A10" s="9" t="inlineStr">
        <is>
          <t>订单项目</t>
        </is>
      </c>
      <c r="B10" s="6" t="inlineStr">
        <is>
          <t>质量指标</t>
        </is>
      </c>
      <c r="C10" s="7" t="inlineStr">
        <is>
          <t>FAT一次通过率</t>
        </is>
      </c>
      <c r="D10" s="7" t="inlineStr">
        <is>
          <t>一次通过/FAT次数×100%</t>
        </is>
      </c>
      <c r="E10" s="6" t="inlineStr">
        <is>
          <t>10%</t>
        </is>
      </c>
      <c r="F10" s="6" t="inlineStr">
        <is>
          <t>≥90%</t>
        </is>
      </c>
      <c r="G10" s="6" t="inlineStr">
        <is>
          <t>铁三角</t>
        </is>
      </c>
      <c r="H10" s="6" t="inlineStr">
        <is>
          <t>项目系统</t>
        </is>
      </c>
    </row>
    <row r="11">
      <c r="A11" s="9" t="inlineStr">
        <is>
          <t>订单项目</t>
        </is>
      </c>
      <c r="B11" s="6" t="inlineStr">
        <is>
          <t>客户指标</t>
        </is>
      </c>
      <c r="C11" s="7" t="inlineStr">
        <is>
          <t>客户满意度</t>
        </is>
      </c>
      <c r="D11" s="7" t="inlineStr">
        <is>
          <t>客户评价得分</t>
        </is>
      </c>
      <c r="E11" s="6" t="inlineStr">
        <is>
          <t>5%</t>
        </is>
      </c>
      <c r="F11" s="6" t="inlineStr">
        <is>
          <t>≥90分</t>
        </is>
      </c>
      <c r="G11" s="6" t="inlineStr">
        <is>
          <t>铁三角</t>
        </is>
      </c>
      <c r="H11" s="6" t="inlineStr">
        <is>
          <t>客户调查</t>
        </is>
      </c>
    </row>
    <row r="12">
      <c r="A12" s="10" t="inlineStr">
        <is>
          <t>研发项目</t>
        </is>
      </c>
      <c r="B12" s="6" t="inlineStr">
        <is>
          <t>进度指标</t>
        </is>
      </c>
      <c r="C12" s="7" t="inlineStr">
        <is>
          <t>里程碑达成率</t>
        </is>
      </c>
      <c r="D12" s="7" t="inlineStr">
        <is>
          <t>按时完成里程碑数/总里程碑数×100%</t>
        </is>
      </c>
      <c r="E12" s="6" t="inlineStr">
        <is>
          <t>25%</t>
        </is>
      </c>
      <c r="F12" s="6" t="inlineStr">
        <is>
          <t>≥85%</t>
        </is>
      </c>
      <c r="G12" s="6" t="inlineStr">
        <is>
          <t>项目组</t>
        </is>
      </c>
      <c r="H12" s="6" t="inlineStr">
        <is>
          <t>项目系统</t>
        </is>
      </c>
    </row>
    <row r="13">
      <c r="A13" s="10" t="inlineStr">
        <is>
          <t>研发项目</t>
        </is>
      </c>
      <c r="B13" s="6" t="inlineStr">
        <is>
          <t>进度指标</t>
        </is>
      </c>
      <c r="C13" s="7" t="inlineStr">
        <is>
          <t>按时结项率</t>
        </is>
      </c>
      <c r="D13" s="7" t="inlineStr">
        <is>
          <t>实际结项日≤计划结项日</t>
        </is>
      </c>
      <c r="E13" s="6" t="inlineStr">
        <is>
          <t>15%</t>
        </is>
      </c>
      <c r="F13" s="6" t="inlineStr">
        <is>
          <t>100%</t>
        </is>
      </c>
      <c r="G13" s="6" t="inlineStr">
        <is>
          <t>项目组</t>
        </is>
      </c>
      <c r="H13" s="6" t="inlineStr">
        <is>
          <t>项目系统</t>
        </is>
      </c>
    </row>
    <row r="14">
      <c r="A14" s="10" t="inlineStr">
        <is>
          <t>研发项目</t>
        </is>
      </c>
      <c r="B14" s="6" t="inlineStr">
        <is>
          <t>成本指标</t>
        </is>
      </c>
      <c r="C14" s="7" t="inlineStr">
        <is>
          <t>预算执行率</t>
        </is>
      </c>
      <c r="D14" s="7" t="inlineStr">
        <is>
          <t>实际费用/预算费用×100%</t>
        </is>
      </c>
      <c r="E14" s="6" t="inlineStr">
        <is>
          <t>15%</t>
        </is>
      </c>
      <c r="F14" s="6" t="inlineStr">
        <is>
          <t>≤100%</t>
        </is>
      </c>
      <c r="G14" s="6" t="inlineStr">
        <is>
          <t>项目组</t>
        </is>
      </c>
      <c r="H14" s="6" t="inlineStr">
        <is>
          <t>财务系统</t>
        </is>
      </c>
    </row>
    <row r="15">
      <c r="A15" s="10" t="inlineStr">
        <is>
          <t>研发项目</t>
        </is>
      </c>
      <c r="B15" s="6" t="inlineStr">
        <is>
          <t>成果指标</t>
        </is>
      </c>
      <c r="C15" s="7" t="inlineStr">
        <is>
          <t>技术目标达成率</t>
        </is>
      </c>
      <c r="D15" s="7" t="inlineStr">
        <is>
          <t>达成技术指标数/总指标数×100%</t>
        </is>
      </c>
      <c r="E15" s="6" t="inlineStr">
        <is>
          <t>20%</t>
        </is>
      </c>
      <c r="F15" s="6" t="inlineStr">
        <is>
          <t>≥90%</t>
        </is>
      </c>
      <c r="G15" s="6" t="inlineStr">
        <is>
          <t>项目组</t>
        </is>
      </c>
      <c r="H15" s="6" t="inlineStr">
        <is>
          <t>验收报告</t>
        </is>
      </c>
    </row>
    <row r="16">
      <c r="A16" s="10" t="inlineStr">
        <is>
          <t>研发项目</t>
        </is>
      </c>
      <c r="B16" s="6" t="inlineStr">
        <is>
          <t>成果指标</t>
        </is>
      </c>
      <c r="C16" s="7" t="inlineStr">
        <is>
          <t>专利/软著产出</t>
        </is>
      </c>
      <c r="D16" s="7" t="inlineStr">
        <is>
          <t>申请的知识产权数量</t>
        </is>
      </c>
      <c r="E16" s="6" t="inlineStr">
        <is>
          <t>10%</t>
        </is>
      </c>
      <c r="F16" s="6" t="inlineStr">
        <is>
          <t>≥1件</t>
        </is>
      </c>
      <c r="G16" s="6" t="inlineStr">
        <is>
          <t>项目组</t>
        </is>
      </c>
      <c r="H16" s="6" t="inlineStr">
        <is>
          <t>知识产权</t>
        </is>
      </c>
    </row>
    <row r="17">
      <c r="A17" s="10" t="inlineStr">
        <is>
          <t>研发项目</t>
        </is>
      </c>
      <c r="B17" s="6" t="inlineStr">
        <is>
          <t>成果指标</t>
        </is>
      </c>
      <c r="C17" s="7" t="inlineStr">
        <is>
          <t>标准化产出</t>
        </is>
      </c>
      <c r="D17" s="7" t="inlineStr">
        <is>
          <t>形成的标准化模块数</t>
        </is>
      </c>
      <c r="E17" s="6" t="inlineStr">
        <is>
          <t>10%</t>
        </is>
      </c>
      <c r="F17" s="6" t="inlineStr">
        <is>
          <t>≥2个</t>
        </is>
      </c>
      <c r="G17" s="6" t="inlineStr">
        <is>
          <t>项目组</t>
        </is>
      </c>
      <c r="H17" s="6" t="inlineStr">
        <is>
          <t>技术平台</t>
        </is>
      </c>
    </row>
    <row r="18">
      <c r="A18" s="10" t="inlineStr">
        <is>
          <t>研发项目</t>
        </is>
      </c>
      <c r="B18" s="6" t="inlineStr">
        <is>
          <t>转化指标</t>
        </is>
      </c>
      <c r="C18" s="7" t="inlineStr">
        <is>
          <t>成果转化率</t>
        </is>
      </c>
      <c r="D18" s="7" t="inlineStr">
        <is>
          <t>转化应用的成果数/总成果数×100%</t>
        </is>
      </c>
      <c r="E18" s="6" t="inlineStr">
        <is>
          <t>5%</t>
        </is>
      </c>
      <c r="F18" s="6" t="inlineStr">
        <is>
          <t>≥50%</t>
        </is>
      </c>
      <c r="G18" s="6" t="inlineStr">
        <is>
          <t>项目组</t>
        </is>
      </c>
      <c r="H18" s="6" t="inlineStr">
        <is>
          <t>项目系统</t>
        </is>
      </c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</cols>
  <sheetData>
    <row r="1">
      <c r="A1" s="8" t="inlineStr">
        <is>
          <t>员工绩效考核表</t>
        </is>
      </c>
    </row>
    <row r="3">
      <c r="A3" s="14" t="inlineStr">
        <is>
          <t>姓名</t>
        </is>
      </c>
      <c r="B3" s="15" t="inlineStr"/>
      <c r="C3" s="14" t="inlineStr">
        <is>
          <t>工号</t>
        </is>
      </c>
      <c r="D3" s="15" t="inlineStr"/>
      <c r="E3" s="14" t="inlineStr">
        <is>
          <t>部门</t>
        </is>
      </c>
      <c r="F3" s="15" t="inlineStr"/>
      <c r="G3" s="14" t="inlineStr">
        <is>
          <t>岗位</t>
        </is>
      </c>
      <c r="H3" s="15" t="inlineStr"/>
      <c r="I3" s="14" t="inlineStr">
        <is>
          <t>考核周期</t>
        </is>
      </c>
      <c r="J3" s="15" t="inlineStr"/>
      <c r="K3" s="14" t="inlineStr">
        <is>
          <t>考核类型</t>
        </is>
      </c>
      <c r="L3" s="15" t="inlineStr"/>
    </row>
    <row r="5">
      <c r="A5" s="16" t="inlineStr">
        <is>
          <t>一、项目线考核（权重70%）</t>
        </is>
      </c>
    </row>
    <row r="6">
      <c r="A6" s="4" t="inlineStr">
        <is>
          <t>项目编号</t>
        </is>
      </c>
      <c r="B6" s="4" t="inlineStr">
        <is>
          <t>项目名称</t>
        </is>
      </c>
      <c r="C6" s="4" t="inlineStr">
        <is>
          <t>角色</t>
        </is>
      </c>
      <c r="D6" s="4" t="inlineStr">
        <is>
          <t>投入比例</t>
        </is>
      </c>
      <c r="E6" s="4" t="inlineStr">
        <is>
          <t>交付得分</t>
        </is>
      </c>
      <c r="F6" s="4" t="inlineStr">
        <is>
          <t>成本得分</t>
        </is>
      </c>
      <c r="G6" s="4" t="inlineStr">
        <is>
          <t>质量得分</t>
        </is>
      </c>
      <c r="H6" s="4" t="inlineStr">
        <is>
          <t>项目得分</t>
        </is>
      </c>
      <c r="I6" s="4" t="inlineStr">
        <is>
          <t>加权得分</t>
        </is>
      </c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>
        <f>D7*H7/100</f>
        <v/>
      </c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>
        <f>D8*H8/100</f>
        <v/>
      </c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>
        <f>D9*H9/100</f>
        <v/>
      </c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>
        <f>D10*H10/100</f>
        <v/>
      </c>
    </row>
    <row r="11">
      <c r="A11" s="17" t="inlineStr">
        <is>
          <t>项目线合计</t>
        </is>
      </c>
      <c r="B11" s="18" t="n"/>
      <c r="C11" s="18" t="n"/>
      <c r="D11" s="18" t="n"/>
      <c r="E11" s="18" t="n"/>
      <c r="F11" s="18" t="n"/>
      <c r="G11" s="18" t="n"/>
      <c r="H11" s="18" t="n"/>
      <c r="I11" s="19">
        <f>SUM(I7:I10)</f>
        <v/>
      </c>
    </row>
    <row r="13">
      <c r="A13" s="16" t="inlineStr">
        <is>
          <t>二、职能线考核（权重30%）</t>
        </is>
      </c>
    </row>
    <row r="14">
      <c r="A14" s="4" t="inlineStr">
        <is>
          <t>考核项</t>
        </is>
      </c>
      <c r="B14" s="4" t="inlineStr">
        <is>
          <t>考核标准</t>
        </is>
      </c>
      <c r="C14" s="4" t="inlineStr">
        <is>
          <t>权重</t>
        </is>
      </c>
      <c r="D14" s="4" t="inlineStr">
        <is>
          <t>自评</t>
        </is>
      </c>
      <c r="E14" s="4" t="inlineStr">
        <is>
          <t>上级评</t>
        </is>
      </c>
      <c r="F14" s="4" t="inlineStr">
        <is>
          <t>得分</t>
        </is>
      </c>
      <c r="G14" s="4" t="inlineStr">
        <is>
          <t>评分依据</t>
        </is>
      </c>
      <c r="H14" s="4" t="inlineStr"/>
      <c r="I14" s="4" t="inlineStr"/>
    </row>
    <row r="15">
      <c r="A15" s="6" t="inlineStr">
        <is>
          <t>专业能力</t>
        </is>
      </c>
      <c r="B15" s="6" t="inlineStr">
        <is>
          <t>技能提升、证书获取、新技术学习</t>
        </is>
      </c>
      <c r="C15" s="6" t="inlineStr">
        <is>
          <t>40%</t>
        </is>
      </c>
      <c r="D15" s="6" t="inlineStr"/>
      <c r="E15" s="6" t="inlineStr"/>
      <c r="F15" s="6">
        <f>C15*E15</f>
        <v/>
      </c>
      <c r="G15" s="6" t="inlineStr"/>
      <c r="H15" s="6" t="inlineStr"/>
      <c r="I15" s="6" t="inlineStr"/>
    </row>
    <row r="16">
      <c r="A16" s="6" t="inlineStr">
        <is>
          <t>知识沉淀</t>
        </is>
      </c>
      <c r="B16" s="6" t="inlineStr">
        <is>
          <t>技术文档、标准化模块、经验分享</t>
        </is>
      </c>
      <c r="C16" s="6" t="inlineStr">
        <is>
          <t>30%</t>
        </is>
      </c>
      <c r="D16" s="6" t="inlineStr"/>
      <c r="E16" s="6" t="inlineStr"/>
      <c r="F16" s="6">
        <f>C16*E16</f>
        <v/>
      </c>
      <c r="G16" s="6" t="inlineStr"/>
      <c r="H16" s="6" t="inlineStr"/>
      <c r="I16" s="6" t="inlineStr"/>
    </row>
    <row r="17">
      <c r="A17" s="6" t="inlineStr">
        <is>
          <t>带教新人</t>
        </is>
      </c>
      <c r="B17" s="6" t="inlineStr">
        <is>
          <t>新员工指导、培训分享</t>
        </is>
      </c>
      <c r="C17" s="6" t="inlineStr">
        <is>
          <t>20%</t>
        </is>
      </c>
      <c r="D17" s="6" t="inlineStr"/>
      <c r="E17" s="6" t="inlineStr"/>
      <c r="F17" s="6">
        <f>C17*E17</f>
        <v/>
      </c>
      <c r="G17" s="6" t="inlineStr"/>
      <c r="H17" s="6" t="inlineStr"/>
      <c r="I17" s="6" t="inlineStr"/>
    </row>
    <row r="18">
      <c r="A18" s="6" t="inlineStr">
        <is>
          <t>制度遵守</t>
        </is>
      </c>
      <c r="B18" s="6" t="inlineStr">
        <is>
          <t>考勤、流程规范、安全</t>
        </is>
      </c>
      <c r="C18" s="6" t="inlineStr">
        <is>
          <t>10%</t>
        </is>
      </c>
      <c r="D18" s="6" t="inlineStr"/>
      <c r="E18" s="6" t="inlineStr"/>
      <c r="F18" s="6">
        <f>C18*E18</f>
        <v/>
      </c>
      <c r="G18" s="6" t="inlineStr"/>
      <c r="H18" s="6" t="inlineStr"/>
      <c r="I18" s="6" t="inlineStr"/>
    </row>
    <row r="19">
      <c r="A19" s="17" t="inlineStr">
        <is>
          <t>职能线合计</t>
        </is>
      </c>
      <c r="B19" s="18" t="n"/>
      <c r="C19" s="18" t="n"/>
      <c r="D19" s="18" t="n"/>
      <c r="E19" s="18" t="n"/>
      <c r="F19" s="19">
        <f>SUM(F15:F18)</f>
        <v/>
      </c>
      <c r="G19" s="18" t="n"/>
      <c r="H19" s="18" t="n"/>
      <c r="I19" s="18" t="n"/>
    </row>
    <row r="21">
      <c r="A21" s="16" t="inlineStr">
        <is>
          <t>三、综合得分</t>
        </is>
      </c>
    </row>
    <row r="22">
      <c r="A22" s="20" t="inlineStr">
        <is>
          <t>考核维度</t>
        </is>
      </c>
      <c r="B22" s="20" t="inlineStr">
        <is>
          <t>得分</t>
        </is>
      </c>
      <c r="C22" s="20" t="inlineStr">
        <is>
          <t>权重</t>
        </is>
      </c>
      <c r="D22" s="20" t="inlineStr">
        <is>
          <t>加权得分</t>
        </is>
      </c>
      <c r="E22" s="20" t="inlineStr"/>
      <c r="F22" s="20" t="inlineStr"/>
      <c r="G22" s="20" t="inlineStr"/>
      <c r="H22" s="20" t="inlineStr"/>
      <c r="I22" s="20" t="inlineStr"/>
    </row>
    <row r="23">
      <c r="A23" s="6" t="inlineStr">
        <is>
          <t>项目线考核</t>
        </is>
      </c>
      <c r="B23" s="6">
        <f>I11</f>
        <v/>
      </c>
      <c r="C23" s="6" t="inlineStr">
        <is>
          <t>70%</t>
        </is>
      </c>
      <c r="D23" s="6">
        <f>B23*0.7</f>
        <v/>
      </c>
      <c r="E23" s="6" t="inlineStr"/>
      <c r="F23" s="6" t="inlineStr"/>
      <c r="G23" s="6" t="inlineStr"/>
      <c r="H23" s="6" t="inlineStr"/>
      <c r="I23" s="6" t="inlineStr"/>
    </row>
    <row r="24">
      <c r="A24" s="6" t="inlineStr">
        <is>
          <t>职能线考核</t>
        </is>
      </c>
      <c r="B24" s="6">
        <f>F19</f>
        <v/>
      </c>
      <c r="C24" s="6" t="inlineStr">
        <is>
          <t>30%</t>
        </is>
      </c>
      <c r="D24" s="6">
        <f>B24*0.3</f>
        <v/>
      </c>
      <c r="E24" s="6" t="inlineStr"/>
      <c r="F24" s="6" t="inlineStr"/>
      <c r="G24" s="6" t="inlineStr"/>
      <c r="H24" s="6" t="inlineStr"/>
      <c r="I24" s="6" t="inlineStr"/>
    </row>
    <row r="25">
      <c r="A25" s="6" t="inlineStr">
        <is>
          <t>综合得分</t>
        </is>
      </c>
      <c r="B25" s="6" t="inlineStr"/>
      <c r="C25" s="6" t="inlineStr"/>
      <c r="D25" s="21">
        <f>D23+D24</f>
        <v/>
      </c>
      <c r="E25" s="6" t="inlineStr"/>
      <c r="F25" s="6" t="inlineStr"/>
      <c r="G25" s="6" t="inlineStr"/>
      <c r="H25" s="6" t="inlineStr"/>
      <c r="I25" s="6" t="inlineStr"/>
    </row>
    <row r="27">
      <c r="A27" s="22" t="inlineStr">
        <is>
          <t>四、等级评定与改进计划</t>
        </is>
      </c>
    </row>
    <row r="28">
      <c r="A28" s="14" t="inlineStr">
        <is>
          <t>绩效等级</t>
        </is>
      </c>
      <c r="B28" s="18" t="inlineStr">
        <is>
          <t>□S(≥95) □A(85-94) □B(75-84) □C(60-74) □D(&lt;60)</t>
        </is>
      </c>
    </row>
    <row r="29">
      <c r="A29" s="14" t="inlineStr">
        <is>
          <t>主要成绩</t>
        </is>
      </c>
      <c r="B29" s="18" t="n"/>
      <c r="C29" s="18" t="n"/>
      <c r="D29" s="18" t="n"/>
      <c r="E29" s="18" t="n"/>
      <c r="F29" s="18" t="n"/>
      <c r="G29" s="18" t="n"/>
      <c r="H29" s="18" t="n"/>
      <c r="I29" s="18" t="n"/>
    </row>
    <row r="30">
      <c r="B30" s="18" t="n"/>
      <c r="C30" s="18" t="n"/>
      <c r="D30" s="18" t="n"/>
      <c r="E30" s="18" t="n"/>
      <c r="F30" s="18" t="n"/>
      <c r="G30" s="18" t="n"/>
      <c r="H30" s="18" t="n"/>
      <c r="I30" s="18" t="n"/>
    </row>
    <row r="31">
      <c r="A31" s="14" t="inlineStr">
        <is>
          <t>待改进项</t>
        </is>
      </c>
      <c r="B31" s="18" t="n"/>
      <c r="C31" s="18" t="n"/>
      <c r="D31" s="18" t="n"/>
      <c r="E31" s="18" t="n"/>
      <c r="F31" s="18" t="n"/>
      <c r="G31" s="18" t="n"/>
      <c r="H31" s="18" t="n"/>
      <c r="I31" s="18" t="n"/>
    </row>
    <row r="32">
      <c r="B32" s="18" t="n"/>
      <c r="C32" s="18" t="n"/>
      <c r="D32" s="18" t="n"/>
      <c r="E32" s="18" t="n"/>
      <c r="F32" s="18" t="n"/>
      <c r="G32" s="18" t="n"/>
      <c r="H32" s="18" t="n"/>
      <c r="I32" s="18" t="n"/>
    </row>
    <row r="33">
      <c r="A33" s="14" t="inlineStr">
        <is>
          <t>改进计划</t>
        </is>
      </c>
      <c r="B33" s="18" t="n"/>
      <c r="C33" s="18" t="n"/>
      <c r="D33" s="18" t="n"/>
      <c r="E33" s="18" t="n"/>
      <c r="F33" s="18" t="n"/>
      <c r="G33" s="18" t="n"/>
      <c r="H33" s="18" t="n"/>
      <c r="I33" s="18" t="n"/>
    </row>
    <row r="34">
      <c r="B34" s="18" t="n"/>
      <c r="C34" s="18" t="n"/>
      <c r="D34" s="18" t="n"/>
      <c r="E34" s="18" t="n"/>
      <c r="F34" s="18" t="n"/>
      <c r="G34" s="18" t="n"/>
      <c r="H34" s="18" t="n"/>
      <c r="I34" s="18" t="n"/>
    </row>
    <row r="36">
      <c r="A36" t="inlineStr">
        <is>
          <t>被考核人签字：__________ 日期：__________</t>
        </is>
      </c>
      <c r="E36" t="inlineStr">
        <is>
          <t>直接上级签字：__________ 日期：__________</t>
        </is>
      </c>
    </row>
  </sheetData>
  <mergeCells count="11">
    <mergeCell ref="A5:I5"/>
    <mergeCell ref="B33:I34"/>
    <mergeCell ref="A13:I13"/>
    <mergeCell ref="A19:E19"/>
    <mergeCell ref="A1:I1"/>
    <mergeCell ref="B28:C28"/>
    <mergeCell ref="A27:I27"/>
    <mergeCell ref="A11:H11"/>
    <mergeCell ref="B29:I30"/>
    <mergeCell ref="B31:I32"/>
    <mergeCell ref="A21:I2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8" customWidth="1" min="3" max="3"/>
    <col width="35" customWidth="1" min="4" max="4"/>
    <col width="20" customWidth="1" min="5" max="5"/>
  </cols>
  <sheetData>
    <row r="1">
      <c r="A1" s="8" t="inlineStr">
        <is>
          <t>绩效管理系统数据表设计</t>
        </is>
      </c>
    </row>
    <row r="3">
      <c r="A3" s="23" t="inlineStr">
        <is>
          <t>表1：KPI指标库 (kpi_library)</t>
        </is>
      </c>
    </row>
    <row r="4">
      <c r="A4" s="4" t="inlineStr">
        <is>
          <t>字段名</t>
        </is>
      </c>
      <c r="B4" s="4" t="inlineStr">
        <is>
          <t>类型</t>
        </is>
      </c>
      <c r="C4" s="4" t="inlineStr">
        <is>
          <t>必填</t>
        </is>
      </c>
      <c r="D4" s="4" t="inlineStr">
        <is>
          <t>说明</t>
        </is>
      </c>
      <c r="E4" s="4" t="inlineStr">
        <is>
          <t>示例</t>
        </is>
      </c>
    </row>
    <row r="5">
      <c r="A5" s="7" t="inlineStr">
        <is>
          <t>id</t>
        </is>
      </c>
      <c r="B5" s="7" t="inlineStr">
        <is>
          <t>INTEGER</t>
        </is>
      </c>
      <c r="C5" s="7" t="inlineStr">
        <is>
          <t>是</t>
        </is>
      </c>
      <c r="D5" s="7" t="inlineStr">
        <is>
          <t>主键</t>
        </is>
      </c>
      <c r="E5" s="7" t="inlineStr">
        <is>
          <t>1</t>
        </is>
      </c>
    </row>
    <row r="6">
      <c r="A6" s="7" t="inlineStr">
        <is>
          <t>kpi_code</t>
        </is>
      </c>
      <c r="B6" s="7" t="inlineStr">
        <is>
          <t>VARCHAR(30)</t>
        </is>
      </c>
      <c r="C6" s="7" t="inlineStr">
        <is>
          <t>是</t>
        </is>
      </c>
      <c r="D6" s="7" t="inlineStr">
        <is>
          <t>指标编号</t>
        </is>
      </c>
      <c r="E6" s="7" t="inlineStr">
        <is>
          <t>KPI-SALES-001</t>
        </is>
      </c>
    </row>
    <row r="7">
      <c r="A7" s="7" t="inlineStr">
        <is>
          <t>kpi_name</t>
        </is>
      </c>
      <c r="B7" s="7" t="inlineStr">
        <is>
          <t>VARCHAR(100)</t>
        </is>
      </c>
      <c r="C7" s="7" t="inlineStr">
        <is>
          <t>是</t>
        </is>
      </c>
      <c r="D7" s="7" t="inlineStr">
        <is>
          <t>指标名称</t>
        </is>
      </c>
      <c r="E7" s="7" t="inlineStr">
        <is>
          <t>销售收入</t>
        </is>
      </c>
    </row>
    <row r="8">
      <c r="A8" s="7" t="inlineStr">
        <is>
          <t>kpi_level</t>
        </is>
      </c>
      <c r="B8" s="7" t="inlineStr">
        <is>
          <t>VARCHAR(20)</t>
        </is>
      </c>
      <c r="C8" s="7" t="inlineStr">
        <is>
          <t>是</t>
        </is>
      </c>
      <c r="D8" s="7" t="inlineStr">
        <is>
          <t>指标层级：公司/部门/项目/个人</t>
        </is>
      </c>
      <c r="E8" s="7" t="inlineStr">
        <is>
          <t>部门</t>
        </is>
      </c>
    </row>
    <row r="9">
      <c r="A9" s="7" t="inlineStr">
        <is>
          <t>department</t>
        </is>
      </c>
      <c r="B9" s="7" t="inlineStr">
        <is>
          <t>VARCHAR(50)</t>
        </is>
      </c>
      <c r="C9" s="7" t="inlineStr">
        <is>
          <t>否</t>
        </is>
      </c>
      <c r="D9" s="7" t="inlineStr">
        <is>
          <t>适用部门</t>
        </is>
      </c>
      <c r="E9" s="7" t="inlineStr">
        <is>
          <t>销售部</t>
        </is>
      </c>
    </row>
    <row r="10">
      <c r="A10" s="7" t="inlineStr">
        <is>
          <t>category</t>
        </is>
      </c>
      <c r="B10" s="7" t="inlineStr">
        <is>
          <t>VARCHAR(50)</t>
        </is>
      </c>
      <c r="C10" s="7" t="inlineStr">
        <is>
          <t>是</t>
        </is>
      </c>
      <c r="D10" s="7" t="inlineStr">
        <is>
          <t>指标类别</t>
        </is>
      </c>
      <c r="E10" s="7" t="inlineStr">
        <is>
          <t>业绩指标</t>
        </is>
      </c>
    </row>
    <row r="11">
      <c r="A11" s="7" t="inlineStr">
        <is>
          <t>definition</t>
        </is>
      </c>
      <c r="B11" s="7" t="inlineStr">
        <is>
          <t>TEXT</t>
        </is>
      </c>
      <c r="C11" s="7" t="inlineStr">
        <is>
          <t>是</t>
        </is>
      </c>
      <c r="D11" s="7" t="inlineStr">
        <is>
          <t>指标定义</t>
        </is>
      </c>
      <c r="E11" s="7" t="inlineStr">
        <is>
          <t>签订合同金额</t>
        </is>
      </c>
    </row>
    <row r="12">
      <c r="A12" s="7" t="inlineStr">
        <is>
          <t>formula</t>
        </is>
      </c>
      <c r="B12" s="7" t="inlineStr">
        <is>
          <t>TEXT</t>
        </is>
      </c>
      <c r="C12" s="7" t="inlineStr">
        <is>
          <t>是</t>
        </is>
      </c>
      <c r="D12" s="7" t="inlineStr">
        <is>
          <t>计算公式</t>
        </is>
      </c>
      <c r="E12" s="7" t="inlineStr">
        <is>
          <t>合同签订金额合计</t>
        </is>
      </c>
    </row>
    <row r="13">
      <c r="A13" s="7" t="inlineStr">
        <is>
          <t>data_source</t>
        </is>
      </c>
      <c r="B13" s="7" t="inlineStr">
        <is>
          <t>VARCHAR(100)</t>
        </is>
      </c>
      <c r="C13" s="7" t="inlineStr">
        <is>
          <t>是</t>
        </is>
      </c>
      <c r="D13" s="7" t="inlineStr">
        <is>
          <t>数据来源</t>
        </is>
      </c>
      <c r="E13" s="7" t="inlineStr">
        <is>
          <t>销售系统</t>
        </is>
      </c>
    </row>
    <row r="14">
      <c r="A14" s="7" t="inlineStr">
        <is>
          <t>unit</t>
        </is>
      </c>
      <c r="B14" s="7" t="inlineStr">
        <is>
          <t>VARCHAR(20)</t>
        </is>
      </c>
      <c r="C14" s="7" t="inlineStr">
        <is>
          <t>是</t>
        </is>
      </c>
      <c r="D14" s="7" t="inlineStr">
        <is>
          <t>单位</t>
        </is>
      </c>
      <c r="E14" s="7" t="inlineStr">
        <is>
          <t>万元</t>
        </is>
      </c>
    </row>
    <row r="15">
      <c r="A15" s="7" t="inlineStr">
        <is>
          <t>target_type</t>
        </is>
      </c>
      <c r="B15" s="7" t="inlineStr">
        <is>
          <t>VARCHAR(20)</t>
        </is>
      </c>
      <c r="C15" s="7" t="inlineStr">
        <is>
          <t>是</t>
        </is>
      </c>
      <c r="D15" s="7" t="inlineStr">
        <is>
          <t>目标类型：≥/≤/=</t>
        </is>
      </c>
      <c r="E15" s="7" t="inlineStr">
        <is>
          <t>≥</t>
        </is>
      </c>
    </row>
    <row r="16">
      <c r="A16" s="7" t="inlineStr">
        <is>
          <t>default_weight</t>
        </is>
      </c>
      <c r="B16" s="7" t="inlineStr">
        <is>
          <t>DECIMAL(5,2)</t>
        </is>
      </c>
      <c r="C16" s="7" t="inlineStr">
        <is>
          <t>否</t>
        </is>
      </c>
      <c r="D16" s="7" t="inlineStr">
        <is>
          <t>默认权重</t>
        </is>
      </c>
      <c r="E16" s="7" t="inlineStr">
        <is>
          <t>30</t>
        </is>
      </c>
    </row>
    <row r="17">
      <c r="A17" s="7" t="inlineStr">
        <is>
          <t>cycle</t>
        </is>
      </c>
      <c r="B17" s="7" t="inlineStr">
        <is>
          <t>VARCHAR(20)</t>
        </is>
      </c>
      <c r="C17" s="7" t="inlineStr">
        <is>
          <t>是</t>
        </is>
      </c>
      <c r="D17" s="7" t="inlineStr">
        <is>
          <t>考核周期</t>
        </is>
      </c>
      <c r="E17" s="7" t="inlineStr">
        <is>
          <t>月度</t>
        </is>
      </c>
    </row>
    <row r="18">
      <c r="A18" s="7" t="inlineStr">
        <is>
          <t>status</t>
        </is>
      </c>
      <c r="B18" s="7" t="inlineStr">
        <is>
          <t>VARCHAR(10)</t>
        </is>
      </c>
      <c r="C18" s="7" t="inlineStr">
        <is>
          <t>是</t>
        </is>
      </c>
      <c r="D18" s="7" t="inlineStr">
        <is>
          <t>状态：启用/停用</t>
        </is>
      </c>
      <c r="E18" s="7" t="inlineStr">
        <is>
          <t>启用</t>
        </is>
      </c>
    </row>
    <row r="21">
      <c r="A21" s="23" t="inlineStr">
        <is>
          <t>表2：绩效目标 (performance_targets)</t>
        </is>
      </c>
    </row>
    <row r="22">
      <c r="A22" s="4" t="inlineStr">
        <is>
          <t>字段名</t>
        </is>
      </c>
      <c r="B22" s="4" t="inlineStr">
        <is>
          <t>类型</t>
        </is>
      </c>
      <c r="C22" s="4" t="inlineStr">
        <is>
          <t>必填</t>
        </is>
      </c>
      <c r="D22" s="4" t="inlineStr">
        <is>
          <t>说明</t>
        </is>
      </c>
      <c r="E22" s="4" t="inlineStr">
        <is>
          <t>示例</t>
        </is>
      </c>
    </row>
    <row r="23">
      <c r="A23" s="7" t="inlineStr">
        <is>
          <t>id</t>
        </is>
      </c>
      <c r="B23" s="7" t="inlineStr">
        <is>
          <t>INTEGER</t>
        </is>
      </c>
      <c r="C23" s="7" t="inlineStr">
        <is>
          <t>是</t>
        </is>
      </c>
      <c r="D23" s="7" t="inlineStr">
        <is>
          <t>主键</t>
        </is>
      </c>
      <c r="E23" s="7" t="inlineStr">
        <is>
          <t>1</t>
        </is>
      </c>
    </row>
    <row r="24">
      <c r="A24" s="7" t="inlineStr">
        <is>
          <t>target_period</t>
        </is>
      </c>
      <c r="B24" s="7" t="inlineStr">
        <is>
          <t>VARCHAR(10)</t>
        </is>
      </c>
      <c r="C24" s="7" t="inlineStr">
        <is>
          <t>是</t>
        </is>
      </c>
      <c r="D24" s="7" t="inlineStr">
        <is>
          <t>目标期间：2025Q1/2025</t>
        </is>
      </c>
      <c r="E24" s="7" t="inlineStr">
        <is>
          <t>2025Q1</t>
        </is>
      </c>
    </row>
    <row r="25">
      <c r="A25" s="7" t="inlineStr">
        <is>
          <t>target_type</t>
        </is>
      </c>
      <c r="B25" s="7" t="inlineStr">
        <is>
          <t>VARCHAR(20)</t>
        </is>
      </c>
      <c r="C25" s="7" t="inlineStr">
        <is>
          <t>是</t>
        </is>
      </c>
      <c r="D25" s="7" t="inlineStr">
        <is>
          <t>目标类型：公司/部门/项目/个人</t>
        </is>
      </c>
      <c r="E25" s="7" t="inlineStr">
        <is>
          <t>部门</t>
        </is>
      </c>
    </row>
    <row r="26">
      <c r="A26" s="7" t="inlineStr">
        <is>
          <t>target_object_id</t>
        </is>
      </c>
      <c r="B26" s="7" t="inlineStr">
        <is>
          <t>INTEGER</t>
        </is>
      </c>
      <c r="C26" s="7" t="inlineStr">
        <is>
          <t>是</t>
        </is>
      </c>
      <c r="D26" s="7" t="inlineStr">
        <is>
          <t>目标对象ID（部门/项目/员工）</t>
        </is>
      </c>
      <c r="E26" s="7" t="inlineStr">
        <is>
          <t>101</t>
        </is>
      </c>
    </row>
    <row r="27">
      <c r="A27" s="7" t="inlineStr">
        <is>
          <t>kpi_id</t>
        </is>
      </c>
      <c r="B27" s="7" t="inlineStr">
        <is>
          <t>INTEGER</t>
        </is>
      </c>
      <c r="C27" s="7" t="inlineStr">
        <is>
          <t>是</t>
        </is>
      </c>
      <c r="D27" s="7" t="inlineStr">
        <is>
          <t>关联KPI指标ID</t>
        </is>
      </c>
      <c r="E27" s="7" t="inlineStr">
        <is>
          <t>1</t>
        </is>
      </c>
    </row>
    <row r="28">
      <c r="A28" s="7" t="inlineStr">
        <is>
          <t>target_value</t>
        </is>
      </c>
      <c r="B28" s="7" t="inlineStr">
        <is>
          <t>DECIMAL(15,2)</t>
        </is>
      </c>
      <c r="C28" s="7" t="inlineStr">
        <is>
          <t>是</t>
        </is>
      </c>
      <c r="D28" s="7" t="inlineStr">
        <is>
          <t>目标值</t>
        </is>
      </c>
      <c r="E28" s="7" t="inlineStr">
        <is>
          <t>500</t>
        </is>
      </c>
    </row>
    <row r="29">
      <c r="A29" s="7" t="inlineStr">
        <is>
          <t>weight</t>
        </is>
      </c>
      <c r="B29" s="7" t="inlineStr">
        <is>
          <t>DECIMAL(5,2)</t>
        </is>
      </c>
      <c r="C29" s="7" t="inlineStr">
        <is>
          <t>是</t>
        </is>
      </c>
      <c r="D29" s="7" t="inlineStr">
        <is>
          <t>权重%</t>
        </is>
      </c>
      <c r="E29" s="7" t="inlineStr">
        <is>
          <t>30</t>
        </is>
      </c>
    </row>
    <row r="30">
      <c r="A30" s="7" t="inlineStr">
        <is>
          <t>min_value</t>
        </is>
      </c>
      <c r="B30" s="7" t="inlineStr">
        <is>
          <t>DECIMAL(15,2)</t>
        </is>
      </c>
      <c r="C30" s="7" t="inlineStr">
        <is>
          <t>否</t>
        </is>
      </c>
      <c r="D30" s="7" t="inlineStr">
        <is>
          <t>底线值</t>
        </is>
      </c>
      <c r="E30" s="7" t="inlineStr">
        <is>
          <t>400</t>
        </is>
      </c>
    </row>
    <row r="31">
      <c r="A31" s="7" t="inlineStr">
        <is>
          <t>challenge_value</t>
        </is>
      </c>
      <c r="B31" s="7" t="inlineStr">
        <is>
          <t>DECIMAL(15,2)</t>
        </is>
      </c>
      <c r="C31" s="7" t="inlineStr">
        <is>
          <t>否</t>
        </is>
      </c>
      <c r="D31" s="7" t="inlineStr">
        <is>
          <t>挑战值</t>
        </is>
      </c>
      <c r="E31" s="7" t="inlineStr">
        <is>
          <t>600</t>
        </is>
      </c>
    </row>
    <row r="34">
      <c r="A34" s="23" t="inlineStr">
        <is>
          <t>表3：绩效结果 (performance_results)</t>
        </is>
      </c>
    </row>
    <row r="35">
      <c r="A35" s="4" t="inlineStr">
        <is>
          <t>字段名</t>
        </is>
      </c>
      <c r="B35" s="4" t="inlineStr">
        <is>
          <t>类型</t>
        </is>
      </c>
      <c r="C35" s="4" t="inlineStr">
        <is>
          <t>必填</t>
        </is>
      </c>
      <c r="D35" s="4" t="inlineStr">
        <is>
          <t>说明</t>
        </is>
      </c>
      <c r="E35" s="4" t="inlineStr">
        <is>
          <t>示例</t>
        </is>
      </c>
    </row>
    <row r="36">
      <c r="A36" s="7" t="inlineStr">
        <is>
          <t>id</t>
        </is>
      </c>
      <c r="B36" s="7" t="inlineStr">
        <is>
          <t>INTEGER</t>
        </is>
      </c>
      <c r="C36" s="7" t="inlineStr">
        <is>
          <t>是</t>
        </is>
      </c>
      <c r="D36" s="7" t="inlineStr">
        <is>
          <t>主键</t>
        </is>
      </c>
      <c r="E36" s="7" t="inlineStr">
        <is>
          <t>1</t>
        </is>
      </c>
    </row>
    <row r="37">
      <c r="A37" s="7" t="inlineStr">
        <is>
          <t>target_id</t>
        </is>
      </c>
      <c r="B37" s="7" t="inlineStr">
        <is>
          <t>INTEGER</t>
        </is>
      </c>
      <c r="C37" s="7" t="inlineStr">
        <is>
          <t>是</t>
        </is>
      </c>
      <c r="D37" s="7" t="inlineStr">
        <is>
          <t>关联目标ID</t>
        </is>
      </c>
      <c r="E37" s="7" t="inlineStr">
        <is>
          <t>1</t>
        </is>
      </c>
    </row>
    <row r="38">
      <c r="A38" s="7" t="inlineStr">
        <is>
          <t>actual_value</t>
        </is>
      </c>
      <c r="B38" s="7" t="inlineStr">
        <is>
          <t>DECIMAL(15,2)</t>
        </is>
      </c>
      <c r="C38" s="7" t="inlineStr">
        <is>
          <t>是</t>
        </is>
      </c>
      <c r="D38" s="7" t="inlineStr">
        <is>
          <t>实际值</t>
        </is>
      </c>
      <c r="E38" s="7" t="inlineStr">
        <is>
          <t>520</t>
        </is>
      </c>
    </row>
    <row r="39">
      <c r="A39" s="7" t="inlineStr">
        <is>
          <t>score</t>
        </is>
      </c>
      <c r="B39" s="7" t="inlineStr">
        <is>
          <t>DECIMAL(5,2)</t>
        </is>
      </c>
      <c r="C39" s="7" t="inlineStr">
        <is>
          <t>是</t>
        </is>
      </c>
      <c r="D39" s="7" t="inlineStr">
        <is>
          <t>得分（百分制）</t>
        </is>
      </c>
      <c r="E39" s="7" t="inlineStr">
        <is>
          <t>104</t>
        </is>
      </c>
    </row>
    <row r="40">
      <c r="A40" s="7" t="inlineStr">
        <is>
          <t>weighted_score</t>
        </is>
      </c>
      <c r="B40" s="7" t="inlineStr">
        <is>
          <t>DECIMAL(5,2)</t>
        </is>
      </c>
      <c r="C40" s="7" t="inlineStr">
        <is>
          <t>是</t>
        </is>
      </c>
      <c r="D40" s="7" t="inlineStr">
        <is>
          <t>加权得分</t>
        </is>
      </c>
      <c r="E40" s="7" t="inlineStr">
        <is>
          <t>31.2</t>
        </is>
      </c>
    </row>
    <row r="41">
      <c r="A41" s="7" t="inlineStr">
        <is>
          <t>data_date</t>
        </is>
      </c>
      <c r="B41" s="7" t="inlineStr">
        <is>
          <t>DATE</t>
        </is>
      </c>
      <c r="C41" s="7" t="inlineStr">
        <is>
          <t>是</t>
        </is>
      </c>
      <c r="D41" s="7" t="inlineStr">
        <is>
          <t>数据日期</t>
        </is>
      </c>
      <c r="E41" s="7" t="inlineStr">
        <is>
          <t>2025-03-31</t>
        </is>
      </c>
    </row>
    <row r="42">
      <c r="A42" s="7" t="inlineStr">
        <is>
          <t>calc_time</t>
        </is>
      </c>
      <c r="B42" s="7" t="inlineStr">
        <is>
          <t>DATETIME</t>
        </is>
      </c>
      <c r="C42" s="7" t="inlineStr">
        <is>
          <t>是</t>
        </is>
      </c>
      <c r="D42" s="7" t="inlineStr">
        <is>
          <t>计算时间</t>
        </is>
      </c>
      <c r="E42" s="7" t="inlineStr">
        <is>
          <t>2025-04-01 08:00</t>
        </is>
      </c>
    </row>
    <row r="43">
      <c r="A43" s="7" t="inlineStr">
        <is>
          <t>data_source</t>
        </is>
      </c>
      <c r="B43" s="7" t="inlineStr">
        <is>
          <t>VARCHAR(50)</t>
        </is>
      </c>
      <c r="C43" s="7" t="inlineStr">
        <is>
          <t>是</t>
        </is>
      </c>
      <c r="D43" s="7" t="inlineStr">
        <is>
          <t>数据来源系统</t>
        </is>
      </c>
      <c r="E43" s="7" t="inlineStr">
        <is>
          <t>销售系统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40" customWidth="1" min="3" max="3"/>
    <col width="25" customWidth="1" min="4" max="4"/>
    <col width="20" customWidth="1" min="5" max="5"/>
  </cols>
  <sheetData>
    <row r="1">
      <c r="A1" s="8" t="inlineStr">
        <is>
          <t>绩效管理流程</t>
        </is>
      </c>
    </row>
    <row r="3">
      <c r="A3" s="2" t="inlineStr">
        <is>
          <t>一、年度绩效管理周期</t>
        </is>
      </c>
    </row>
    <row r="4">
      <c r="A4" s="4" t="inlineStr">
        <is>
          <t>阶段</t>
        </is>
      </c>
      <c r="B4" s="4" t="inlineStr">
        <is>
          <t>时间</t>
        </is>
      </c>
      <c r="C4" s="4" t="inlineStr">
        <is>
          <t>主要活动</t>
        </is>
      </c>
      <c r="D4" s="4" t="inlineStr">
        <is>
          <t>输出物</t>
        </is>
      </c>
      <c r="E4" s="4" t="inlineStr">
        <is>
          <t>责任人</t>
        </is>
      </c>
    </row>
    <row r="5">
      <c r="A5" s="6" t="inlineStr">
        <is>
          <t>目标制定</t>
        </is>
      </c>
      <c r="B5" s="6" t="inlineStr">
        <is>
          <t>12月-1月</t>
        </is>
      </c>
      <c r="C5" s="7" t="inlineStr">
        <is>
          <t>战略解码、目标分解、签订责任书</t>
        </is>
      </c>
      <c r="D5" s="7" t="inlineStr">
        <is>
          <t>年度绩效目标责任书</t>
        </is>
      </c>
      <c r="E5" s="7" t="inlineStr">
        <is>
          <t>各级管理者</t>
        </is>
      </c>
    </row>
    <row r="6">
      <c r="A6" s="6" t="inlineStr">
        <is>
          <t>计划执行</t>
        </is>
      </c>
      <c r="B6" s="6" t="inlineStr">
        <is>
          <t>1月-12月</t>
        </is>
      </c>
      <c r="C6" s="7" t="inlineStr">
        <is>
          <t>按计划执行、过程跟踪、及时反馈</t>
        </is>
      </c>
      <c r="D6" s="7" t="inlineStr">
        <is>
          <t>周报/月报、过程数据</t>
        </is>
      </c>
      <c r="E6" s="7" t="inlineStr">
        <is>
          <t>全体员工</t>
        </is>
      </c>
    </row>
    <row r="7">
      <c r="A7" s="6" t="inlineStr">
        <is>
          <t>季度复盘</t>
        </is>
      </c>
      <c r="B7" s="6" t="inlineStr">
        <is>
          <t>每季度末</t>
        </is>
      </c>
      <c r="C7" s="7" t="inlineStr">
        <is>
          <t>回顾目标达成、分析差距、调整计划</t>
        </is>
      </c>
      <c r="D7" s="7" t="inlineStr">
        <is>
          <t>季度绩效报告</t>
        </is>
      </c>
      <c r="E7" s="7" t="inlineStr">
        <is>
          <t>各级管理者</t>
        </is>
      </c>
    </row>
    <row r="8">
      <c r="A8" s="6" t="inlineStr">
        <is>
          <t>中期评估</t>
        </is>
      </c>
      <c r="B8" s="6" t="inlineStr">
        <is>
          <t>6月</t>
        </is>
      </c>
      <c r="C8" s="7" t="inlineStr">
        <is>
          <t>半年绩效评估、人才盘点</t>
        </is>
      </c>
      <c r="D8" s="7" t="inlineStr">
        <is>
          <t>半年度绩效评估表</t>
        </is>
      </c>
      <c r="E8" s="7" t="inlineStr">
        <is>
          <t>HR+管理者</t>
        </is>
      </c>
    </row>
    <row r="9">
      <c r="A9" s="6" t="inlineStr">
        <is>
          <t>年度考核</t>
        </is>
      </c>
      <c r="B9" s="6" t="inlineStr">
        <is>
          <t>12月</t>
        </is>
      </c>
      <c r="C9" s="7" t="inlineStr">
        <is>
          <t>全年绩效评估、等级评定</t>
        </is>
      </c>
      <c r="D9" s="7" t="inlineStr">
        <is>
          <t>年度绩效考核表</t>
        </is>
      </c>
      <c r="E9" s="7" t="inlineStr">
        <is>
          <t>HR+管理者</t>
        </is>
      </c>
    </row>
    <row r="10">
      <c r="A10" s="6" t="inlineStr">
        <is>
          <t>结果应用</t>
        </is>
      </c>
      <c r="B10" s="6" t="inlineStr">
        <is>
          <t>1月</t>
        </is>
      </c>
      <c r="C10" s="7" t="inlineStr">
        <is>
          <t>奖金分配、晋升调薪、培训发展</t>
        </is>
      </c>
      <c r="D10" s="7" t="inlineStr">
        <is>
          <t>奖金方案、晋升名单</t>
        </is>
      </c>
      <c r="E10" s="7" t="inlineStr">
        <is>
          <t>HR+管理者</t>
        </is>
      </c>
    </row>
    <row r="13">
      <c r="A13" s="2" t="inlineStr">
        <is>
          <t>二、月度绩效管理流程</t>
        </is>
      </c>
    </row>
    <row r="14">
      <c r="A14" s="4" t="inlineStr">
        <is>
          <t>时间节点</t>
        </is>
      </c>
      <c r="B14" s="4" t="inlineStr">
        <is>
          <t>活动</t>
        </is>
      </c>
      <c r="C14" s="4" t="inlineStr">
        <is>
          <t>责任人</t>
        </is>
      </c>
      <c r="D14" s="4" t="inlineStr">
        <is>
          <t>输出物</t>
        </is>
      </c>
    </row>
    <row r="15">
      <c r="A15" s="6" t="inlineStr">
        <is>
          <t>每月1日</t>
        </is>
      </c>
      <c r="B15" s="6" t="inlineStr">
        <is>
          <t>系统自动采集上月数据</t>
        </is>
      </c>
      <c r="C15" s="6" t="inlineStr">
        <is>
          <t>系统</t>
        </is>
      </c>
      <c r="D15" s="6" t="inlineStr">
        <is>
          <t>原始数据</t>
        </is>
      </c>
    </row>
    <row r="16">
      <c r="A16" s="6" t="inlineStr">
        <is>
          <t>每月3日前</t>
        </is>
      </c>
      <c r="B16" s="6" t="inlineStr">
        <is>
          <t>数据核对、异常处理</t>
        </is>
      </c>
      <c r="C16" s="6" t="inlineStr">
        <is>
          <t>数据负责人</t>
        </is>
      </c>
      <c r="D16" s="6" t="inlineStr">
        <is>
          <t>确认数据</t>
        </is>
      </c>
    </row>
    <row r="17">
      <c r="A17" s="6" t="inlineStr">
        <is>
          <t>每月5日前</t>
        </is>
      </c>
      <c r="B17" s="6" t="inlineStr">
        <is>
          <t>系统自动计算绩效得分</t>
        </is>
      </c>
      <c r="C17" s="6" t="inlineStr">
        <is>
          <t>系统</t>
        </is>
      </c>
      <c r="D17" s="6" t="inlineStr">
        <is>
          <t>绩效得分</t>
        </is>
      </c>
    </row>
    <row r="18">
      <c r="A18" s="6" t="inlineStr">
        <is>
          <t>每月7日前</t>
        </is>
      </c>
      <c r="B18" s="6" t="inlineStr">
        <is>
          <t>上级评价、打分确认</t>
        </is>
      </c>
      <c r="C18" s="6" t="inlineStr">
        <is>
          <t>直接上级</t>
        </is>
      </c>
      <c r="D18" s="6" t="inlineStr">
        <is>
          <t>确认得分</t>
        </is>
      </c>
    </row>
    <row r="19">
      <c r="A19" s="6" t="inlineStr">
        <is>
          <t>每月10日前</t>
        </is>
      </c>
      <c r="B19" s="6" t="inlineStr">
        <is>
          <t>绩效面谈、反馈沟通</t>
        </is>
      </c>
      <c r="C19" s="6" t="inlineStr">
        <is>
          <t>直接上级</t>
        </is>
      </c>
      <c r="D19" s="6" t="inlineStr">
        <is>
          <t>面谈记录</t>
        </is>
      </c>
    </row>
    <row r="20">
      <c r="A20" s="6" t="inlineStr">
        <is>
          <t>每月15日前</t>
        </is>
      </c>
      <c r="B20" s="6" t="inlineStr">
        <is>
          <t>绩效结果归档、报表生成</t>
        </is>
      </c>
      <c r="C20" s="6" t="inlineStr">
        <is>
          <t>HR</t>
        </is>
      </c>
      <c r="D20" s="6" t="inlineStr">
        <is>
          <t>绩效报表</t>
        </is>
      </c>
    </row>
    <row r="23">
      <c r="A23" s="2" t="inlineStr">
        <is>
          <t>三、项目绩效管理流程</t>
        </is>
      </c>
    </row>
    <row r="24">
      <c r="A24" s="4" t="inlineStr">
        <is>
          <t>阶段</t>
        </is>
      </c>
      <c r="B24" s="4" t="inlineStr">
        <is>
          <t>时间节点</t>
        </is>
      </c>
      <c r="C24" s="4" t="inlineStr">
        <is>
          <t>活动</t>
        </is>
      </c>
      <c r="D24" s="4" t="inlineStr">
        <is>
          <t>输出物</t>
        </is>
      </c>
    </row>
    <row r="25">
      <c r="A25" s="6" t="inlineStr">
        <is>
          <t>项目启动</t>
        </is>
      </c>
      <c r="B25" s="6" t="inlineStr">
        <is>
          <t>项目启动会</t>
        </is>
      </c>
      <c r="C25" s="7" t="inlineStr">
        <is>
          <t>确定铁三角、明确KPI目标</t>
        </is>
      </c>
      <c r="D25" s="7" t="inlineStr">
        <is>
          <t>项目绩效目标</t>
        </is>
      </c>
    </row>
    <row r="26">
      <c r="A26" s="6" t="inlineStr">
        <is>
          <t>过程跟踪</t>
        </is>
      </c>
      <c r="B26" s="6" t="inlineStr">
        <is>
          <t>每周</t>
        </is>
      </c>
      <c r="C26" s="7" t="inlineStr">
        <is>
          <t>跟踪进度、成本、质量指标</t>
        </is>
      </c>
      <c r="D26" s="7" t="inlineStr">
        <is>
          <t>项目周报</t>
        </is>
      </c>
    </row>
    <row r="27">
      <c r="A27" s="6" t="inlineStr">
        <is>
          <t>里程碑评审</t>
        </is>
      </c>
      <c r="B27" s="6" t="inlineStr">
        <is>
          <t>里程碑节点</t>
        </is>
      </c>
      <c r="C27" s="7" t="inlineStr">
        <is>
          <t>评估阶段绩效、识别风险</t>
        </is>
      </c>
      <c r="D27" s="7" t="inlineStr">
        <is>
          <t>阶段评审记录</t>
        </is>
      </c>
    </row>
    <row r="28">
      <c r="A28" s="6" t="inlineStr">
        <is>
          <t>项目结项</t>
        </is>
      </c>
      <c r="B28" s="6" t="inlineStr">
        <is>
          <t>项目验收后</t>
        </is>
      </c>
      <c r="C28" s="7" t="inlineStr">
        <is>
          <t>核算最终绩效得分</t>
        </is>
      </c>
      <c r="D28" s="7" t="inlineStr">
        <is>
          <t>项目绩效报告</t>
        </is>
      </c>
    </row>
    <row r="29">
      <c r="A29" s="6" t="inlineStr">
        <is>
          <t>奖金分配</t>
        </is>
      </c>
      <c r="B29" s="6" t="inlineStr">
        <is>
          <t>结项后1个月</t>
        </is>
      </c>
      <c r="C29" s="7" t="inlineStr">
        <is>
          <t>计算奖金、分配到人</t>
        </is>
      </c>
      <c r="D29" s="7" t="inlineStr">
        <is>
          <t>奖金分配表</t>
        </is>
      </c>
    </row>
    <row r="30">
      <c r="A30" s="6" t="inlineStr">
        <is>
          <t>项目复盘</t>
        </is>
      </c>
      <c r="B30" s="6" t="inlineStr">
        <is>
          <t>结项后2周</t>
        </is>
      </c>
      <c r="C30" s="7" t="inlineStr">
        <is>
          <t>总结经验教训、改进建议</t>
        </is>
      </c>
      <c r="D30" s="7" t="inlineStr">
        <is>
          <t>复盘报告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2026-01-02T00:24:12Z</dcterms:created>
  <dcterms:modified xmlns:dcterms="http://purl.org/dc/terms/" xmlns:xsi="http://www.w3.org/2001/XMLSchema-instance" xsi:type="dcterms:W3CDTF">2026-01-02T00:24:12Z</dcterms:modified>
</cp:coreProperties>
</file>